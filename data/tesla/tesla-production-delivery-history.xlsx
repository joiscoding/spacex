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ies 1" sheetId="1" r:id="rId5"/>
    <sheet state="visible" name="Deliveries 2" sheetId="2" r:id="rId6"/>
    <sheet state="visible" name="Production" sheetId="3" r:id="rId7"/>
    <sheet state="visible" name="Charts" sheetId="4" r:id="rId8"/>
    <sheet state="visible" name="Data Sources" sheetId="5" r:id="rId9"/>
    <sheet state="visible" name="Delivery_Data" sheetId="6" r:id="rId10"/>
    <sheet state="visible" name="Production_Data" sheetId="7" r:id="rId11"/>
    <sheet state="hidden" name="Seasonality" sheetId="8" r:id="rId12"/>
    <sheet state="hidden" name="Cumulative Model 3Y sales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0">
      <text>
        <t xml:space="preserve">This excludes a few quarters when the Model Y line (aka the tent) was also used for Model 3 production.</t>
      </text>
    </comment>
  </commentList>
</comments>
</file>

<file path=xl/sharedStrings.xml><?xml version="1.0" encoding="utf-8"?>
<sst xmlns="http://schemas.openxmlformats.org/spreadsheetml/2006/main" count="5790" uniqueCount="145">
  <si>
    <t>Deliveries</t>
  </si>
  <si>
    <t>Total</t>
  </si>
  <si>
    <t>All models</t>
  </si>
  <si>
    <t>ROW (Rest of the World) includes these countries:</t>
  </si>
  <si>
    <t>• Australia</t>
  </si>
  <si>
    <t>• Hong Kong</t>
  </si>
  <si>
    <t>• Israel</t>
  </si>
  <si>
    <t>• Japan</t>
  </si>
  <si>
    <t>• Malaysia</t>
  </si>
  <si>
    <t>• New Zealand</t>
  </si>
  <si>
    <t>• Singapore</t>
  </si>
  <si>
    <t>• South Korea</t>
  </si>
  <si>
    <t>• Taiwan</t>
  </si>
  <si>
    <t>• Thailand</t>
  </si>
  <si>
    <t>• Turkiye</t>
  </si>
  <si>
    <t>• United Arab Emirates</t>
  </si>
  <si>
    <t/>
  </si>
  <si>
    <t>APAC (Asia--Pacific) includes these countries:</t>
  </si>
  <si>
    <t>• China</t>
  </si>
  <si>
    <t>• Turkey</t>
  </si>
  <si>
    <t>Fremont</t>
  </si>
  <si>
    <t>Shanghai</t>
  </si>
  <si>
    <t>Berlin</t>
  </si>
  <si>
    <t>Texas</t>
  </si>
  <si>
    <t xml:space="preserve">Production </t>
  </si>
  <si>
    <t>Model 3</t>
  </si>
  <si>
    <t>Model S/X</t>
  </si>
  <si>
    <t>Model Y</t>
  </si>
  <si>
    <t>Cybertruck</t>
  </si>
  <si>
    <t>Roadster Original (2008-2012)</t>
  </si>
  <si>
    <t>needed to reach 9 million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</si>
  <si>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</si>
  <si>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</si>
  <si>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</si>
  <si>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</si>
  <si>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</si>
  <si>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</si>
  <si>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</si>
  <si>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</si>
  <si>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</si>
  <si>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</si>
  <si>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</si>
  <si>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</si>
  <si>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</si>
  <si>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</si>
  <si>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</si>
  <si>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</si>
  <si>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</si>
  <si>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</si>
  <si>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</si>
  <si>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</si>
  <si>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</si>
  <si>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</si>
  <si>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</si>
  <si>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</si>
  <si>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</si>
  <si>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</si>
  <si>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</si>
  <si>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</si>
  <si>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</si>
  <si>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</si>
  <si>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</si>
  <si>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</si>
  <si>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</si>
  <si>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</si>
  <si>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</si>
  <si>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</si>
  <si>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</si>
  <si>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</si>
  <si>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</si>
  <si>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</si>
  <si>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</si>
  <si>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</si>
  <si>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</si>
  <si>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</si>
  <si>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</si>
  <si>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</si>
  <si>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</si>
  <si>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</si>
  <si>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</si>
  <si>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</si>
  <si>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</si>
  <si>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</si>
  <si>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</si>
  <si>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</si>
  <si>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Highest Q</t>
  </si>
  <si>
    <t>Annualized</t>
  </si>
  <si>
    <t>Texas Model Y</t>
  </si>
  <si>
    <t>Tesla Deliveries</t>
  </si>
  <si>
    <t>Global</t>
  </si>
  <si>
    <t>Quarterly Tesla Deliveries by Region</t>
  </si>
  <si>
    <t>Model 3 Deliveries in China, Europe and USA</t>
  </si>
  <si>
    <t>Model Y Deliveries in China, Europe and USA</t>
  </si>
  <si>
    <t>Model 3/Y Deliveries in China, Europe and USA</t>
  </si>
  <si>
    <t>2012 Q3 to 2017 Q4 are excluded</t>
  </si>
  <si>
    <t>Model 3 vs Model Y Deliveries Worldwide</t>
  </si>
  <si>
    <t>Model 3 vs Model Y Deliveries in the USA</t>
  </si>
  <si>
    <t>Model 3 vs Model Y Deliveries in the China</t>
  </si>
  <si>
    <t>Model S/X Deliveries</t>
  </si>
  <si>
    <t>Global Production &amp; Deliveries</t>
  </si>
  <si>
    <t>Europe:</t>
  </si>
  <si>
    <t>Vehicle registration numbers in Europe are public information, with each country releasing its data separately. You can find a list of data sources and step-by-step instructions on how to download the data here:</t>
  </si>
  <si>
    <t>https://docs.google.com/spreadsheets/d/1Vobg29R1t3FphlWjb8dwG4nkAWqyc_qMwkCjUT8SUno/pubhtml?gid=2009703435&amp;single=true&amp;chrome=false&amp;range=$B$122:$J$166</t>
  </si>
  <si>
    <t>However, there’s also a Tesla community project where we collect and publish the monthly numbers for each country as soon as they become available. Check out the purple table here:</t>
  </si>
  <si>
    <t>https://teslamotorsclub.com/tmc/threads/tesla-europe-registration-stats.61651/</t>
  </si>
  <si>
    <t xml:space="preserve">China </t>
  </si>
  <si>
    <t>Monthly registration numbers are released by the China Passenger Car Association (CPCA) on their website:</t>
  </si>
  <si>
    <t>http://cpcaauto.com/news.php?types=csjd&amp;anid=129&amp;nid=24</t>
  </si>
  <si>
    <t>Rest of the World (ROW)</t>
  </si>
  <si>
    <t>Each country in this region also releases monthly registration numbers.</t>
  </si>
  <si>
    <t xml:space="preserve">North America </t>
  </si>
  <si>
    <t>I calculate this region by subtracting all other regions from Tesla's global numbers.</t>
  </si>
  <si>
    <t>Canada</t>
  </si>
  <si>
    <t>The official Statistics Canada department publishes the number of EV incentive applications, which helps with calculations:</t>
  </si>
  <si>
    <t>https://open.canada.ca/data/en/dataset/42986a95-be23-436e-af15-7c6bf292a2e1/resource/167cec08-777a-4b29-a3a7-eda79f799bae</t>
  </si>
  <si>
    <t>Feel free to contact me if you have any questions!</t>
  </si>
  <si>
    <t>Troy Teslike</t>
  </si>
  <si>
    <t>https://x.com/TroyTeslike/</t>
  </si>
  <si>
    <t>Year</t>
  </si>
  <si>
    <t>Quarter</t>
  </si>
  <si>
    <t>Model</t>
  </si>
  <si>
    <t>Model group</t>
  </si>
  <si>
    <t>Region-1</t>
  </si>
  <si>
    <t>Region-2</t>
  </si>
  <si>
    <t>Factory</t>
  </si>
  <si>
    <t>Q3</t>
  </si>
  <si>
    <t>Model S/X/Cybertruck</t>
  </si>
  <si>
    <t>USA</t>
  </si>
  <si>
    <t>North America</t>
  </si>
  <si>
    <t>Q4</t>
  </si>
  <si>
    <t>You can ignore this tab. I use it to easily update all the numbers.</t>
  </si>
  <si>
    <t>I paste the numbers here and the other tabs read them from here.</t>
  </si>
  <si>
    <t>Q1</t>
  </si>
  <si>
    <t>Q2</t>
  </si>
  <si>
    <t>Europe</t>
  </si>
  <si>
    <t>China</t>
  </si>
  <si>
    <t>APAC</t>
  </si>
  <si>
    <t>ROW</t>
  </si>
  <si>
    <t>Model 3/Y</t>
  </si>
  <si>
    <t>Production</t>
  </si>
  <si>
    <t>Seasonality of Tesla Sales in the U.S.</t>
  </si>
  <si>
    <t>Q4/Q3</t>
  </si>
  <si>
    <t>@TroyTeslike, 10 Aug 2023</t>
  </si>
  <si>
    <t>Quarterly Model 3/Y Sales Since 2020</t>
  </si>
  <si>
    <t>Running Total of Model 3/Y Sales Since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</si>
</sst>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%"/>
    <numFmt numFmtId="165" formatCode="mmm&quot; &quot;d&quot;, &quot;yyyy&quot;, &quot;h&quot;:&quot;mm"/>
    <numFmt numFmtId="166" formatCode="#,##0.0"/>
    <numFmt numFmtId="167" formatCode="0.0"/>
    <numFmt numFmtId="168" formatCode="yyyy mm"/>
    <numFmt numFmtId="169" formatCode="yyyy m"/>
  </numFmts>
  <fonts count="18">
    <font>
      <sz val="10.0"/>
      <color rgb="FF000000"/>
      <name val="Roboto"/>
      <scheme val="minor"/>
    </font>
    <font>
      <color rgb="FFFFFFFF"/>
      <name val="Roboto"/>
      <scheme val="minor"/>
    </font>
    <font>
      <color theme="0"/>
      <name val="Roboto"/>
      <scheme val="minor"/>
    </font>
    <font>
      <color theme="1"/>
      <name val="Roboto"/>
      <scheme val="minor"/>
    </font>
    <font>
      <sz val="11.0"/>
      <color theme="1"/>
      <name val="Roboto"/>
    </font>
    <font>
      <sz val="11.0"/>
      <color rgb="FFFFFFFF"/>
      <name val="Roboto"/>
    </font>
    <font/>
    <font>
      <sz val="11.0"/>
      <color rgb="FF1C4587"/>
      <name val="Roboto"/>
    </font>
    <font>
      <b/>
      <color theme="1"/>
      <name val="Roboto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theme="1"/>
      <name val="Roboto"/>
    </font>
    <font>
      <sz val="10.0"/>
      <color theme="1"/>
      <name val="Roboto"/>
    </font>
    <font>
      <sz val="10.0"/>
      <color theme="1"/>
      <name val="Roboto"/>
      <scheme val="minor"/>
    </font>
    <font>
      <sz val="11.0"/>
      <color theme="1"/>
      <name val="Roboto"/>
      <scheme val="minor"/>
    </font>
    <font>
      <sz val="10.0"/>
      <color rgb="FF3464B0"/>
      <name val="Roboto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3C78D8"/>
        <bgColor rgb="FF3C78D8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E3396B"/>
        <bgColor rgb="FFE3396B"/>
      </patternFill>
    </fill>
    <fill>
      <patternFill patternType="solid">
        <fgColor theme="0"/>
        <bgColor theme="0"/>
      </patternFill>
    </fill>
  </fills>
  <borders count="27">
    <border/>
    <border>
      <left style="thin">
        <color rgb="FF1C4587"/>
      </left>
      <right style="thin">
        <color rgb="FF000000"/>
      </right>
      <top style="thin">
        <color rgb="FF1C4587"/>
      </top>
      <bottom style="thin">
        <color rgb="FF1C4587"/>
      </bottom>
    </border>
    <border>
      <left style="thin">
        <color rgb="FF000000"/>
      </left>
      <right style="thin">
        <color rgb="FF000000"/>
      </right>
      <top style="thin">
        <color rgb="FF1C4587"/>
      </top>
      <bottom style="thin">
        <color rgb="FF1C4587"/>
      </bottom>
    </border>
    <border>
      <left style="thin">
        <color rgb="FF000000"/>
      </left>
      <right style="thin">
        <color rgb="FF1C4587"/>
      </right>
      <top style="thin">
        <color rgb="FF1C4587"/>
      </top>
      <bottom style="thin">
        <color rgb="FF1C4587"/>
      </bottom>
    </border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right style="thin">
        <color rgb="FF1C4587"/>
      </right>
      <top style="thin">
        <color rgb="FF1C4587"/>
      </top>
    </border>
    <border>
      <left style="thin">
        <color rgb="FF1C4587"/>
      </left>
      <right style="thin">
        <color rgb="FF1C4587"/>
      </right>
      <top style="medium">
        <color rgb="FF1C4587"/>
      </top>
      <bottom style="thin">
        <color rgb="FF1C4587"/>
      </bottom>
    </border>
    <border>
      <left style="thin">
        <color rgb="FF1C4587"/>
      </left>
      <right style="thin">
        <color rgb="FF1C4587"/>
      </right>
      <top style="thin">
        <color rgb="FF1C4587"/>
      </top>
      <bottom style="medium">
        <color rgb="FF1C4587"/>
      </bottom>
    </border>
    <border>
      <left style="thin">
        <color rgb="FF1C4587"/>
      </left>
      <right style="thin">
        <color rgb="FF1C4587"/>
      </right>
      <bottom style="thin">
        <color rgb="FF1C4587"/>
      </bottom>
    </border>
    <border>
      <left style="thin">
        <color rgb="FF6D9EEB"/>
      </left>
      <top style="thin">
        <color rgb="FF6D9EEB"/>
      </top>
    </border>
    <border>
      <right style="thin">
        <color rgb="FF6D9EEB"/>
      </right>
      <top style="thin">
        <color rgb="FF6D9EEB"/>
      </top>
    </border>
    <border>
      <left style="thin">
        <color rgb="FF6D9EEB"/>
      </left>
    </border>
    <border>
      <right style="thin">
        <color rgb="FF6D9EEB"/>
      </right>
    </border>
    <border>
      <left style="thin">
        <color rgb="FF6D9EEB"/>
      </left>
      <bottom style="thin">
        <color rgb="FF6D9EEB"/>
      </bottom>
    </border>
    <border>
      <right style="thin">
        <color rgb="FF6D9EEB"/>
      </right>
      <bottom style="thin">
        <color rgb="FF6D9EEB"/>
      </bottom>
    </border>
    <border>
      <left style="thin">
        <color rgb="FF6D9EEB"/>
      </left>
      <top style="thin">
        <color rgb="FF6D9EEB"/>
      </top>
      <bottom style="thin">
        <color rgb="FF6D9EEB"/>
      </bottom>
    </border>
    <border>
      <right style="thin">
        <color rgb="FF6D9EEB"/>
      </right>
      <top style="thin">
        <color rgb="FF6D9EEB"/>
      </top>
      <bottom style="thin">
        <color rgb="FF6D9EEB"/>
      </bottom>
    </border>
    <border>
      <left style="thin">
        <color rgb="FF1C4587"/>
      </left>
      <top style="thin">
        <color rgb="FF1C4587"/>
      </top>
      <bottom style="thin">
        <color rgb="FF000000"/>
      </bottom>
    </border>
    <border>
      <top style="thin">
        <color rgb="FF1C4587"/>
      </top>
      <bottom style="thin">
        <color rgb="FF000000"/>
      </bottom>
    </border>
    <border>
      <right style="thin">
        <color rgb="FF000000"/>
      </right>
      <top style="thin">
        <color rgb="FF1C4587"/>
      </top>
      <bottom style="thin">
        <color rgb="FF000000"/>
      </bottom>
    </border>
    <border>
      <left style="thin">
        <color rgb="FF1C4587"/>
      </left>
      <top style="thin">
        <color rgb="FF1C4587"/>
      </top>
      <bottom style="thin">
        <color rgb="FF1C458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1C4587"/>
      </top>
      <bottom style="thin">
        <color rgb="FF1C4587"/>
      </bottom>
    </border>
    <border>
      <right style="thin">
        <color rgb="FF1C4587"/>
      </right>
      <top style="thin">
        <color rgb="FF1C4587"/>
      </top>
      <bottom style="thin">
        <color rgb="FF1C4587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2" fontId="2" numFmtId="3" xfId="0" applyAlignment="1" applyBorder="1" applyFont="1" applyNumberFormat="1">
      <alignment horizontal="right" shrinkToFit="0" vertical="top" wrapText="1"/>
    </xf>
    <xf borderId="0" fillId="0" fontId="3" numFmtId="3" xfId="0" applyAlignment="1" applyFont="1" applyNumberFormat="1">
      <alignment horizontal="right" shrinkToFit="0" vertical="top" wrapText="1"/>
    </xf>
    <xf borderId="0" fillId="0" fontId="1" numFmtId="0" xfId="0" applyAlignment="1" applyFont="1">
      <alignment horizontal="left" readingOrder="0" vertical="center"/>
    </xf>
    <xf borderId="3" fillId="2" fontId="1" numFmtId="3" xfId="0" applyAlignment="1" applyBorder="1" applyFont="1" applyNumberFormat="1">
      <alignment horizontal="right" readingOrder="0" shrinkToFit="0" vertical="top" wrapText="1"/>
    </xf>
    <xf borderId="4" fillId="3" fontId="1" numFmtId="0" xfId="0" applyAlignment="1" applyBorder="1" applyFill="1" applyFont="1">
      <alignment horizontal="left" readingOrder="0" vertical="center"/>
    </xf>
    <xf borderId="4" fillId="3" fontId="2" numFmtId="3" xfId="0" applyAlignment="1" applyBorder="1" applyFont="1" applyNumberFormat="1">
      <alignment horizontal="right" vertical="center"/>
    </xf>
    <xf borderId="4" fillId="3" fontId="1" numFmtId="3" xfId="0" applyAlignment="1" applyBorder="1" applyFont="1" applyNumberFormat="1">
      <alignment horizontal="right" readingOrder="0" vertical="center"/>
    </xf>
    <xf borderId="0" fillId="0" fontId="3" numFmtId="3" xfId="0" applyAlignment="1" applyFont="1" applyNumberFormat="1">
      <alignment horizontal="right" vertical="center"/>
    </xf>
    <xf borderId="0" fillId="0" fontId="3" numFmtId="0" xfId="0" applyAlignment="1" applyFont="1">
      <alignment horizontal="left" shrinkToFit="0" vertical="top" wrapText="1"/>
    </xf>
    <xf borderId="4" fillId="4" fontId="3" numFmtId="0" xfId="0" applyAlignment="1" applyBorder="1" applyFill="1" applyFont="1">
      <alignment horizontal="left" shrinkToFit="0" vertical="top" wrapText="1"/>
    </xf>
    <xf borderId="4" fillId="0" fontId="3" numFmtId="3" xfId="0" applyAlignment="1" applyBorder="1" applyFont="1" applyNumberFormat="1">
      <alignment horizontal="right" shrinkToFit="0" vertical="top" wrapText="1"/>
    </xf>
    <xf borderId="0" fillId="0" fontId="3" numFmtId="0" xfId="0" applyAlignment="1" applyFont="1">
      <alignment horizontal="left" vertical="center"/>
    </xf>
    <xf borderId="4" fillId="0" fontId="3" numFmtId="0" xfId="0" applyAlignment="1" applyBorder="1" applyFont="1">
      <alignment horizontal="left" vertical="center"/>
    </xf>
    <xf borderId="4" fillId="0" fontId="3" numFmtId="3" xfId="0" applyAlignment="1" applyBorder="1" applyFont="1" applyNumberFormat="1">
      <alignment horizontal="right" vertical="center"/>
    </xf>
    <xf borderId="4" fillId="5" fontId="3" numFmtId="3" xfId="0" applyAlignment="1" applyBorder="1" applyFill="1" applyFont="1" applyNumberFormat="1">
      <alignment horizontal="right" vertical="center"/>
    </xf>
    <xf borderId="0" fillId="0" fontId="3" numFmtId="9" xfId="0" applyAlignment="1" applyFont="1" applyNumberFormat="1">
      <alignment horizontal="right" vertical="center"/>
    </xf>
    <xf borderId="0" fillId="0" fontId="3" numFmtId="0" xfId="0" applyAlignment="1" applyFont="1">
      <alignment horizontal="left" readingOrder="0" vertical="center"/>
    </xf>
    <xf borderId="4" fillId="0" fontId="3" numFmtId="0" xfId="0" applyAlignment="1" applyBorder="1" applyFont="1">
      <alignment horizontal="left" readingOrder="0" vertical="center"/>
    </xf>
    <xf borderId="0" fillId="0" fontId="3" numFmtId="3" xfId="0" applyAlignment="1" applyFont="1" applyNumberFormat="1">
      <alignment horizontal="left" readingOrder="0" vertical="center"/>
    </xf>
    <xf borderId="4" fillId="5" fontId="3" numFmtId="0" xfId="0" applyAlignment="1" applyBorder="1" applyFont="1">
      <alignment horizontal="left" readingOrder="0" vertical="center"/>
    </xf>
    <xf borderId="4" fillId="5" fontId="3" numFmtId="0" xfId="0" applyAlignment="1" applyBorder="1" applyFont="1">
      <alignment horizontal="left" vertical="center"/>
    </xf>
    <xf borderId="4" fillId="2" fontId="1" numFmtId="0" xfId="0" applyAlignment="1" applyBorder="1" applyFont="1">
      <alignment horizontal="left" readingOrder="0" vertical="top"/>
    </xf>
    <xf borderId="4" fillId="2" fontId="2" numFmtId="3" xfId="0" applyAlignment="1" applyBorder="1" applyFont="1" applyNumberFormat="1">
      <alignment horizontal="right" vertical="top"/>
    </xf>
    <xf borderId="4" fillId="2" fontId="2" numFmtId="3" xfId="0" applyAlignment="1" applyBorder="1" applyFont="1" applyNumberFormat="1">
      <alignment horizontal="right" shrinkToFit="0" vertical="top" wrapText="1"/>
    </xf>
    <xf borderId="4" fillId="2" fontId="1" numFmtId="3" xfId="0" applyAlignment="1" applyBorder="1" applyFont="1" applyNumberFormat="1">
      <alignment horizontal="right" readingOrder="0" vertical="top"/>
    </xf>
    <xf borderId="0" fillId="0" fontId="1" numFmtId="0" xfId="0" applyAlignment="1" applyFont="1">
      <alignment horizontal="left" readingOrder="0" shrinkToFit="0" vertical="center" wrapText="1"/>
    </xf>
    <xf borderId="4" fillId="2" fontId="1" numFmtId="0" xfId="0" applyAlignment="1" applyBorder="1" applyFont="1">
      <alignment horizontal="left" readingOrder="0" shrinkToFit="0" vertical="top" wrapText="1"/>
    </xf>
    <xf borderId="4" fillId="2" fontId="1" numFmtId="3" xfId="0" applyAlignment="1" applyBorder="1" applyFont="1" applyNumberFormat="1">
      <alignment horizontal="right" readingOrder="0" shrinkToFit="0" vertical="top" wrapText="1"/>
    </xf>
    <xf borderId="4" fillId="3" fontId="1" numFmtId="0" xfId="0" applyAlignment="1" applyBorder="1" applyFont="1">
      <alignment horizontal="left" readingOrder="0" shrinkToFit="0" vertical="center" wrapText="1"/>
    </xf>
    <xf borderId="4" fillId="3" fontId="2" numFmtId="3" xfId="0" applyAlignment="1" applyBorder="1" applyFont="1" applyNumberFormat="1">
      <alignment horizontal="right" shrinkToFit="0" vertical="center" wrapText="1"/>
    </xf>
    <xf borderId="4" fillId="3" fontId="1" numFmtId="3" xfId="0" applyAlignment="1" applyBorder="1" applyFont="1" applyNumberFormat="1">
      <alignment horizontal="right" readingOrder="0" shrinkToFit="0" vertical="center" wrapText="1"/>
    </xf>
    <xf borderId="0" fillId="0" fontId="3" numFmtId="3" xfId="0" applyAlignment="1" applyFont="1" applyNumberFormat="1">
      <alignment horizontal="right" shrinkToFit="0" vertical="center" wrapText="1"/>
    </xf>
    <xf borderId="0" fillId="0" fontId="3" numFmtId="0" xfId="0" applyAlignment="1" applyFont="1">
      <alignment shrinkToFit="0" wrapText="1"/>
    </xf>
    <xf borderId="0" fillId="0" fontId="3" numFmtId="3" xfId="0" applyAlignment="1" applyFont="1" applyNumberFormat="1">
      <alignment horizontal="right" readingOrder="0" vertical="center"/>
    </xf>
    <xf borderId="0" fillId="0" fontId="3" numFmtId="164" xfId="0" applyAlignment="1" applyFont="1" applyNumberFormat="1">
      <alignment horizontal="right" readingOrder="0" vertical="center"/>
    </xf>
    <xf borderId="0" fillId="0" fontId="3" numFmtId="10" xfId="0" applyAlignment="1" applyFont="1" applyNumberFormat="1">
      <alignment horizontal="left" vertical="center"/>
    </xf>
    <xf borderId="0" fillId="0" fontId="3" numFmtId="10" xfId="0" applyAlignment="1" applyFont="1" applyNumberFormat="1">
      <alignment horizontal="right" vertical="center"/>
    </xf>
    <xf borderId="1" fillId="2" fontId="1" numFmtId="0" xfId="0" applyAlignment="1" applyBorder="1" applyFont="1">
      <alignment horizontal="left" readingOrder="0" shrinkToFit="0" vertical="center" wrapText="1"/>
    </xf>
    <xf borderId="2" fillId="2" fontId="2" numFmtId="3" xfId="0" applyAlignment="1" applyBorder="1" applyFont="1" applyNumberFormat="1">
      <alignment horizontal="right" shrinkToFit="0" vertical="center" wrapText="1"/>
    </xf>
    <xf borderId="3" fillId="2" fontId="1" numFmtId="3" xfId="0" applyAlignment="1" applyBorder="1" applyFont="1" applyNumberFormat="1">
      <alignment horizontal="right" readingOrder="0" shrinkToFit="0" vertical="center" wrapText="1"/>
    </xf>
    <xf borderId="4" fillId="2" fontId="1" numFmtId="0" xfId="0" applyAlignment="1" applyBorder="1" applyFont="1">
      <alignment horizontal="left" readingOrder="0" vertical="center"/>
    </xf>
    <xf borderId="4" fillId="2" fontId="2" numFmtId="3" xfId="0" applyAlignment="1" applyBorder="1" applyFont="1" applyNumberFormat="1">
      <alignment horizontal="right" shrinkToFit="0" vertical="center" wrapText="1"/>
    </xf>
    <xf borderId="4" fillId="2" fontId="1" numFmtId="3" xfId="0" applyAlignment="1" applyBorder="1" applyFont="1" applyNumberFormat="1">
      <alignment horizontal="right" readingOrder="0" shrinkToFit="0" vertical="center" wrapText="1"/>
    </xf>
    <xf borderId="0" fillId="0" fontId="3" numFmtId="0" xfId="0" applyAlignment="1" applyFont="1">
      <alignment vertical="center"/>
    </xf>
    <xf borderId="0" fillId="0" fontId="3" numFmtId="3" xfId="0" applyAlignment="1" applyFont="1" applyNumberFormat="1">
      <alignment horizontal="left" readingOrder="0" shrinkToFit="0" vertical="center" wrapText="0"/>
    </xf>
    <xf borderId="0" fillId="0" fontId="3" numFmtId="165" xfId="0" applyAlignment="1" applyFont="1" applyNumberFormat="1">
      <alignment horizontal="right" readingOrder="0" vertical="center"/>
    </xf>
    <xf borderId="0" fillId="0" fontId="3" numFmtId="166" xfId="0" applyAlignment="1" applyFont="1" applyNumberFormat="1">
      <alignment horizontal="right" vertical="center"/>
    </xf>
    <xf borderId="0" fillId="0" fontId="3" numFmtId="3" xfId="0" applyAlignment="1" applyFont="1" applyNumberFormat="1">
      <alignment vertical="center"/>
    </xf>
    <xf borderId="0" fillId="0" fontId="3" numFmtId="167" xfId="0" applyAlignment="1" applyFont="1" applyNumberFormat="1">
      <alignment vertical="center"/>
    </xf>
    <xf borderId="0" fillId="0" fontId="3" numFmtId="3" xfId="0" applyAlignment="1" applyFont="1" applyNumberFormat="1">
      <alignment readingOrder="0"/>
    </xf>
    <xf borderId="0" fillId="0" fontId="3" numFmtId="3" xfId="0" applyAlignment="1" applyFont="1" applyNumberFormat="1">
      <alignment horizontal="left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4" numFmtId="3" xfId="0" applyAlignment="1" applyFont="1" applyNumberFormat="1">
      <alignment vertical="center"/>
    </xf>
    <xf borderId="5" fillId="3" fontId="5" numFmtId="0" xfId="0" applyAlignment="1" applyBorder="1" applyFont="1">
      <alignment horizontal="center" readingOrder="0" vertical="center"/>
    </xf>
    <xf borderId="6" fillId="0" fontId="6" numFmtId="0" xfId="0" applyBorder="1" applyFont="1"/>
    <xf borderId="7" fillId="0" fontId="6" numFmtId="0" xfId="0" applyBorder="1" applyFont="1"/>
    <xf borderId="1" fillId="2" fontId="5" numFmtId="0" xfId="0" applyAlignment="1" applyBorder="1" applyFont="1">
      <alignment horizontal="left" shrinkToFit="0" vertical="top" wrapText="1"/>
    </xf>
    <xf borderId="2" fillId="2" fontId="5" numFmtId="3" xfId="0" applyAlignment="1" applyBorder="1" applyFont="1" applyNumberFormat="1">
      <alignment horizontal="right" shrinkToFit="0" vertical="top" wrapText="1"/>
    </xf>
    <xf borderId="3" fillId="2" fontId="5" numFmtId="3" xfId="0" applyAlignment="1" applyBorder="1" applyFont="1" applyNumberFormat="1">
      <alignment horizontal="right" readingOrder="0" shrinkToFit="0" vertical="top" wrapText="1"/>
    </xf>
    <xf borderId="4" fillId="0" fontId="4" numFmtId="0" xfId="0" applyAlignment="1" applyBorder="1" applyFont="1">
      <alignment horizontal="left" readingOrder="0" vertical="center"/>
    </xf>
    <xf borderId="4" fillId="0" fontId="4" numFmtId="3" xfId="0" applyAlignment="1" applyBorder="1" applyFont="1" applyNumberFormat="1">
      <alignment horizontal="right" vertical="center"/>
    </xf>
    <xf borderId="4" fillId="5" fontId="7" numFmtId="3" xfId="0" applyAlignment="1" applyBorder="1" applyFont="1" applyNumberFormat="1">
      <alignment horizontal="right" vertical="center"/>
    </xf>
    <xf borderId="4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4" fillId="5" fontId="7" numFmtId="0" xfId="0" applyAlignment="1" applyBorder="1" applyFont="1">
      <alignment horizontal="left" readingOrder="0" vertical="center"/>
    </xf>
    <xf borderId="4" fillId="5" fontId="7" numFmtId="3" xfId="0" applyAlignment="1" applyBorder="1" applyFont="1" applyNumberFormat="1">
      <alignment vertical="center"/>
    </xf>
    <xf borderId="4" fillId="0" fontId="4" numFmtId="0" xfId="0" applyAlignment="1" applyBorder="1" applyFont="1">
      <alignment vertical="center"/>
    </xf>
    <xf borderId="0" fillId="0" fontId="3" numFmtId="0" xfId="0" applyAlignment="1" applyFont="1">
      <alignment readingOrder="0" vertical="center"/>
    </xf>
    <xf borderId="8" fillId="0" fontId="4" numFmtId="0" xfId="0" applyAlignment="1" applyBorder="1" applyFont="1">
      <alignment vertical="center"/>
    </xf>
    <xf borderId="8" fillId="0" fontId="4" numFmtId="3" xfId="0" applyAlignment="1" applyBorder="1" applyFont="1" applyNumberFormat="1">
      <alignment horizontal="right" vertical="center"/>
    </xf>
    <xf borderId="8" fillId="5" fontId="4" numFmtId="3" xfId="0" applyAlignment="1" applyBorder="1" applyFont="1" applyNumberFormat="1">
      <alignment horizontal="right" vertical="center"/>
    </xf>
    <xf borderId="9" fillId="0" fontId="4" numFmtId="0" xfId="0" applyAlignment="1" applyBorder="1" applyFont="1">
      <alignment vertical="center"/>
    </xf>
    <xf borderId="9" fillId="0" fontId="4" numFmtId="3" xfId="0" applyAlignment="1" applyBorder="1" applyFont="1" applyNumberFormat="1">
      <alignment horizontal="right" vertical="center"/>
    </xf>
    <xf borderId="9" fillId="5" fontId="4" numFmtId="3" xfId="0" applyAlignment="1" applyBorder="1" applyFont="1" applyNumberFormat="1">
      <alignment horizontal="right" vertical="center"/>
    </xf>
    <xf borderId="4" fillId="5" fontId="4" numFmtId="3" xfId="0" applyAlignment="1" applyBorder="1" applyFont="1" applyNumberFormat="1">
      <alignment horizontal="right" vertical="center"/>
    </xf>
    <xf borderId="10" fillId="0" fontId="4" numFmtId="0" xfId="0" applyAlignment="1" applyBorder="1" applyFont="1">
      <alignment vertical="center"/>
    </xf>
    <xf borderId="10" fillId="0" fontId="4" numFmtId="3" xfId="0" applyAlignment="1" applyBorder="1" applyFont="1" applyNumberFormat="1">
      <alignment horizontal="right" vertical="center"/>
    </xf>
    <xf borderId="10" fillId="5" fontId="4" numFmtId="3" xfId="0" applyAlignment="1" applyBorder="1" applyFont="1" applyNumberFormat="1">
      <alignment horizontal="right" vertical="center"/>
    </xf>
    <xf borderId="11" fillId="0" fontId="4" numFmtId="0" xfId="0" applyAlignment="1" applyBorder="1" applyFont="1">
      <alignment vertical="center"/>
    </xf>
    <xf borderId="11" fillId="0" fontId="4" numFmtId="3" xfId="0" applyAlignment="1" applyBorder="1" applyFont="1" applyNumberFormat="1">
      <alignment horizontal="right" vertical="center"/>
    </xf>
    <xf borderId="11" fillId="5" fontId="4" numFmtId="3" xfId="0" applyAlignment="1" applyBorder="1" applyFont="1" applyNumberFormat="1">
      <alignment horizontal="right" vertical="center"/>
    </xf>
    <xf borderId="4" fillId="5" fontId="7" numFmtId="0" xfId="0" applyAlignment="1" applyBorder="1" applyFont="1">
      <alignment readingOrder="0" vertical="center"/>
    </xf>
    <xf borderId="8" fillId="5" fontId="7" numFmtId="3" xfId="0" applyAlignment="1" applyBorder="1" applyFont="1" applyNumberFormat="1">
      <alignment horizontal="right" vertical="center"/>
    </xf>
    <xf borderId="9" fillId="5" fontId="7" numFmtId="3" xfId="0" applyAlignment="1" applyBorder="1" applyFont="1" applyNumberFormat="1">
      <alignment horizontal="right" vertical="center"/>
    </xf>
    <xf borderId="10" fillId="5" fontId="7" numFmtId="3" xfId="0" applyAlignment="1" applyBorder="1" applyFont="1" applyNumberFormat="1">
      <alignment horizontal="right" vertical="center"/>
    </xf>
    <xf borderId="11" fillId="5" fontId="7" numFmtId="3" xfId="0" applyAlignment="1" applyBorder="1" applyFont="1" applyNumberFormat="1">
      <alignment horizontal="right" vertical="center"/>
    </xf>
    <xf borderId="1" fillId="2" fontId="5" numFmtId="0" xfId="0" applyAlignment="1" applyBorder="1" applyFont="1">
      <alignment horizontal="left" shrinkToFit="0" vertical="center" wrapText="1"/>
    </xf>
    <xf borderId="2" fillId="2" fontId="5" numFmtId="3" xfId="0" applyAlignment="1" applyBorder="1" applyFont="1" applyNumberFormat="1">
      <alignment horizontal="right" shrinkToFit="0" vertical="center" wrapText="1"/>
    </xf>
    <xf borderId="3" fillId="2" fontId="5" numFmtId="3" xfId="0" applyAlignment="1" applyBorder="1" applyFont="1" applyNumberFormat="1">
      <alignment horizontal="right" readingOrder="0" shrinkToFit="0" vertical="center" wrapText="1"/>
    </xf>
    <xf borderId="4" fillId="2" fontId="5" numFmtId="0" xfId="0" applyAlignment="1" applyBorder="1" applyFont="1">
      <alignment horizontal="left" shrinkToFit="0" vertical="center" wrapText="1"/>
    </xf>
    <xf borderId="4" fillId="2" fontId="5" numFmtId="3" xfId="0" applyAlignment="1" applyBorder="1" applyFont="1" applyNumberFormat="1">
      <alignment horizontal="right" shrinkToFit="0" vertical="center" wrapText="1"/>
    </xf>
    <xf borderId="4" fillId="2" fontId="5" numFmtId="3" xfId="0" applyAlignment="1" applyBorder="1" applyFont="1" applyNumberFormat="1">
      <alignment horizontal="right" readingOrder="0" shrinkToFit="0" vertical="center" wrapText="1"/>
    </xf>
    <xf borderId="2" fillId="2" fontId="5" numFmtId="3" xfId="0" applyAlignment="1" applyBorder="1" applyFont="1" applyNumberFormat="1">
      <alignment horizontal="right" readingOrder="0" shrinkToFit="0" vertical="top" wrapText="1"/>
    </xf>
    <xf borderId="5" fillId="2" fontId="5" numFmtId="0" xfId="0" applyAlignment="1" applyBorder="1" applyFont="1">
      <alignment horizontal="center" readingOrder="0" vertical="center"/>
    </xf>
    <xf borderId="0" fillId="0" fontId="4" numFmtId="0" xfId="0" applyAlignment="1" applyFont="1">
      <alignment shrinkToFit="0" vertical="center" wrapText="1"/>
    </xf>
    <xf borderId="4" fillId="3" fontId="5" numFmtId="0" xfId="0" applyAlignment="1" applyBorder="1" applyFont="1">
      <alignment shrinkToFit="0" vertical="center" wrapText="1"/>
    </xf>
    <xf borderId="4" fillId="3" fontId="5" numFmtId="3" xfId="0" applyAlignment="1" applyBorder="1" applyFont="1" applyNumberFormat="1">
      <alignment horizontal="right" shrinkToFit="0" vertical="center" wrapText="1"/>
    </xf>
    <xf borderId="4" fillId="0" fontId="4" numFmtId="3" xfId="0" applyAlignment="1" applyBorder="1" applyFont="1" applyNumberFormat="1">
      <alignment vertical="center"/>
    </xf>
    <xf borderId="8" fillId="0" fontId="4" numFmtId="3" xfId="0" applyAlignment="1" applyBorder="1" applyFont="1" applyNumberFormat="1">
      <alignment vertical="center"/>
    </xf>
    <xf borderId="9" fillId="0" fontId="4" numFmtId="3" xfId="0" applyAlignment="1" applyBorder="1" applyFont="1" applyNumberFormat="1">
      <alignment vertical="center"/>
    </xf>
    <xf borderId="10" fillId="0" fontId="4" numFmtId="3" xfId="0" applyAlignment="1" applyBorder="1" applyFont="1" applyNumberFormat="1">
      <alignment vertical="center"/>
    </xf>
    <xf borderId="11" fillId="0" fontId="4" numFmtId="3" xfId="0" applyAlignment="1" applyBorder="1" applyFont="1" applyNumberFormat="1">
      <alignment vertical="center"/>
    </xf>
    <xf borderId="0" fillId="0" fontId="8" numFmtId="0" xfId="0" applyAlignment="1" applyFont="1">
      <alignment shrinkToFit="0" vertical="top" wrapText="1"/>
    </xf>
    <xf borderId="12" fillId="0" fontId="8" numFmtId="0" xfId="0" applyAlignment="1" applyBorder="1" applyFont="1">
      <alignment readingOrder="0" shrinkToFit="0" vertical="top" wrapText="1"/>
    </xf>
    <xf borderId="13" fillId="0" fontId="3" numFmtId="0" xfId="0" applyAlignment="1" applyBorder="1" applyFont="1">
      <alignment readingOrder="0" shrinkToFit="0" wrapText="1"/>
    </xf>
    <xf borderId="14" fillId="0" fontId="8" numFmtId="0" xfId="0" applyAlignment="1" applyBorder="1" applyFont="1">
      <alignment shrinkToFit="0" vertical="top" wrapText="1"/>
    </xf>
    <xf borderId="15" fillId="0" fontId="9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16" fillId="0" fontId="8" numFmtId="0" xfId="0" applyAlignment="1" applyBorder="1" applyFont="1">
      <alignment shrinkToFit="0" vertical="top" wrapText="1"/>
    </xf>
    <xf borderId="17" fillId="0" fontId="10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wrapText="1"/>
    </xf>
    <xf borderId="17" fillId="0" fontId="11" numFmtId="0" xfId="0" applyAlignment="1" applyBorder="1" applyFont="1">
      <alignment readingOrder="0" shrinkToFit="0" wrapText="1"/>
    </xf>
    <xf borderId="18" fillId="0" fontId="8" numFmtId="0" xfId="0" applyAlignment="1" applyBorder="1" applyFont="1">
      <alignment readingOrder="0" shrinkToFit="0" vertical="top" wrapText="1"/>
    </xf>
    <xf borderId="19" fillId="0" fontId="3" numFmtId="0" xfId="0" applyAlignment="1" applyBorder="1" applyFont="1">
      <alignment readingOrder="0" shrinkToFit="0" wrapText="1"/>
    </xf>
    <xf borderId="12" fillId="0" fontId="8" numFmtId="0" xfId="0" applyAlignment="1" applyBorder="1" applyFont="1">
      <alignment shrinkToFit="0" vertical="top" wrapText="1"/>
    </xf>
    <xf borderId="15" fillId="0" fontId="8" numFmtId="0" xfId="0" applyAlignment="1" applyBorder="1" applyFont="1">
      <alignment readingOrder="0" shrinkToFit="0" wrapText="1"/>
    </xf>
    <xf borderId="15" fillId="0" fontId="12" numFmtId="0" xfId="0" applyAlignment="1" applyBorder="1" applyFont="1">
      <alignment readingOrder="0" shrinkToFit="0" wrapText="1"/>
    </xf>
    <xf borderId="17" fillId="0" fontId="3" numFmtId="0" xfId="0" applyAlignment="1" applyBorder="1" applyFont="1">
      <alignment readingOrder="0" shrinkToFit="0" wrapText="1"/>
    </xf>
    <xf borderId="0" fillId="0" fontId="13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0" fontId="13" numFmtId="3" xfId="0" applyAlignment="1" applyFont="1" applyNumberFormat="1">
      <alignment horizontal="right" readingOrder="0"/>
    </xf>
    <xf borderId="0" fillId="0" fontId="14" numFmtId="0" xfId="0" applyAlignment="1" applyFont="1">
      <alignment vertical="center"/>
    </xf>
    <xf borderId="0" fillId="0" fontId="13" numFmtId="3" xfId="0" applyAlignment="1" applyFont="1" applyNumberFormat="1">
      <alignment readingOrder="0"/>
    </xf>
    <xf borderId="0" fillId="6" fontId="4" numFmtId="0" xfId="0" applyAlignment="1" applyFill="1" applyFont="1">
      <alignment readingOrder="0" vertical="center"/>
    </xf>
    <xf borderId="0" fillId="6" fontId="4" numFmtId="0" xfId="0" applyAlignment="1" applyFont="1">
      <alignment vertical="center"/>
    </xf>
    <xf borderId="0" fillId="0" fontId="14" numFmtId="0" xfId="0" applyAlignment="1" applyFont="1">
      <alignment horizontal="left" readingOrder="0" vertical="center"/>
    </xf>
    <xf borderId="0" fillId="0" fontId="14" numFmtId="3" xfId="0" applyAlignment="1" applyFont="1" applyNumberFormat="1">
      <alignment horizontal="left" readingOrder="0" vertical="center"/>
    </xf>
    <xf borderId="0" fillId="0" fontId="14" numFmtId="3" xfId="0" applyAlignment="1" applyFont="1" applyNumberFormat="1">
      <alignment horizontal="right" readingOrder="0" vertical="center"/>
    </xf>
    <xf borderId="0" fillId="6" fontId="4" numFmtId="0" xfId="0" applyAlignment="1" applyFont="1">
      <alignment horizontal="right" readingOrder="0" vertical="center"/>
    </xf>
    <xf borderId="0" fillId="0" fontId="14" numFmtId="0" xfId="0" applyAlignment="1" applyFont="1">
      <alignment horizontal="right" vertical="center"/>
    </xf>
    <xf borderId="0" fillId="0" fontId="14" numFmtId="168" xfId="0" applyAlignment="1" applyFont="1" applyNumberFormat="1">
      <alignment readingOrder="0" vertical="center"/>
    </xf>
    <xf borderId="0" fillId="0" fontId="14" numFmtId="169" xfId="0" applyAlignment="1" applyFont="1" applyNumberFormat="1">
      <alignment readingOrder="0" vertical="center"/>
    </xf>
    <xf borderId="0" fillId="0" fontId="15" numFmtId="0" xfId="0" applyAlignment="1" applyFont="1">
      <alignment readingOrder="0"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5" numFmtId="0" xfId="0" applyAlignment="1" applyFont="1">
      <alignment horizontal="left" readingOrder="0" vertical="center"/>
    </xf>
    <xf borderId="0" fillId="0" fontId="15" numFmtId="3" xfId="0" applyAlignment="1" applyFont="1" applyNumberFormat="1">
      <alignment readingOrder="0" vertical="center"/>
    </xf>
    <xf borderId="0" fillId="6" fontId="16" numFmtId="0" xfId="0" applyAlignment="1" applyFont="1">
      <alignment readingOrder="0" vertical="center"/>
    </xf>
    <xf borderId="0" fillId="6" fontId="16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20" fillId="3" fontId="1" numFmtId="3" xfId="0" applyAlignment="1" applyBorder="1" applyFont="1" applyNumberFormat="1">
      <alignment horizontal="center" readingOrder="0" vertical="center"/>
    </xf>
    <xf borderId="21" fillId="0" fontId="6" numFmtId="0" xfId="0" applyBorder="1" applyFont="1"/>
    <xf borderId="22" fillId="0" fontId="6" numFmtId="0" xfId="0" applyBorder="1" applyFont="1"/>
    <xf borderId="4" fillId="2" fontId="2" numFmtId="3" xfId="0" applyAlignment="1" applyBorder="1" applyFont="1" applyNumberFormat="1">
      <alignment horizontal="center" shrinkToFit="0" vertical="center" wrapText="1"/>
    </xf>
    <xf borderId="4" fillId="2" fontId="2" numFmtId="3" xfId="0" applyAlignment="1" applyBorder="1" applyFont="1" applyNumberFormat="1">
      <alignment horizontal="right" vertical="center"/>
    </xf>
    <xf borderId="23" fillId="2" fontId="2" numFmtId="3" xfId="0" applyAlignment="1" applyBorder="1" applyFont="1" applyNumberFormat="1">
      <alignment horizontal="right" vertical="center"/>
    </xf>
    <xf borderId="24" fillId="7" fontId="2" numFmtId="0" xfId="0" applyAlignment="1" applyBorder="1" applyFill="1" applyFont="1">
      <alignment horizontal="right" readingOrder="0" vertical="center"/>
    </xf>
    <xf borderId="4" fillId="0" fontId="3" numFmtId="0" xfId="0" applyAlignment="1" applyBorder="1" applyFont="1">
      <alignment horizontal="center" vertical="center"/>
    </xf>
    <xf borderId="23" fillId="0" fontId="3" numFmtId="3" xfId="0" applyAlignment="1" applyBorder="1" applyFont="1" applyNumberFormat="1">
      <alignment horizontal="right" vertical="center"/>
    </xf>
    <xf borderId="24" fillId="8" fontId="3" numFmtId="9" xfId="0" applyAlignment="1" applyBorder="1" applyFill="1" applyFont="1" applyNumberFormat="1">
      <alignment vertical="center"/>
    </xf>
    <xf borderId="0" fillId="0" fontId="3" numFmtId="164" xfId="0" applyFont="1" applyNumberFormat="1"/>
    <xf borderId="0" fillId="0" fontId="3" numFmtId="0" xfId="0" applyAlignment="1" applyFont="1">
      <alignment horizontal="right" vertical="center"/>
    </xf>
    <xf borderId="0" fillId="0" fontId="17" numFmtId="0" xfId="0" applyAlignment="1" applyFont="1">
      <alignment readingOrder="0" vertical="center"/>
    </xf>
    <xf borderId="23" fillId="3" fontId="1" numFmtId="0" xfId="0" applyAlignment="1" applyBorder="1" applyFont="1">
      <alignment horizontal="center" readingOrder="0" vertical="center"/>
    </xf>
    <xf borderId="25" fillId="0" fontId="6" numFmtId="0" xfId="0" applyBorder="1" applyFont="1"/>
    <xf borderId="26" fillId="0" fontId="6" numFmtId="0" xfId="0" applyBorder="1" applyFont="1"/>
    <xf borderId="4" fillId="2" fontId="2" numFmtId="0" xfId="0" applyAlignment="1" applyBorder="1" applyFont="1">
      <alignment vertical="center"/>
    </xf>
    <xf borderId="4" fillId="2" fontId="2" numFmtId="0" xfId="0" applyAlignment="1" applyBorder="1" applyFont="1">
      <alignment horizontal="right" vertical="center"/>
    </xf>
    <xf borderId="4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8" fillId="0" fontId="3" numFmtId="3" xfId="0" applyAlignment="1" applyBorder="1" applyFont="1" applyNumberFormat="1">
      <alignment horizontal="right" vertical="center"/>
    </xf>
    <xf borderId="9" fillId="0" fontId="3" numFmtId="0" xfId="0" applyAlignment="1" applyBorder="1" applyFont="1">
      <alignment vertical="center"/>
    </xf>
    <xf borderId="9" fillId="0" fontId="3" numFmtId="3" xfId="0" applyAlignment="1" applyBorder="1" applyFont="1" applyNumberFormat="1">
      <alignment horizontal="right" vertical="center"/>
    </xf>
    <xf borderId="10" fillId="0" fontId="3" numFmtId="0" xfId="0" applyAlignment="1" applyBorder="1" applyFont="1">
      <alignment vertical="center"/>
    </xf>
    <xf borderId="10" fillId="0" fontId="3" numFmtId="3" xfId="0" applyAlignment="1" applyBorder="1" applyFont="1" applyNumberFormat="1">
      <alignment horizontal="right" vertical="center"/>
    </xf>
    <xf borderId="11" fillId="0" fontId="3" numFmtId="0" xfId="0" applyAlignment="1" applyBorder="1" applyFont="1">
      <alignment vertical="center"/>
    </xf>
    <xf borderId="11" fillId="0" fontId="3" numFmtId="3" xfId="0" applyAlignment="1" applyBorder="1" applyFont="1" applyNumberFormat="1">
      <alignment horizontal="right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1">
    <tableStyle count="2" pivot="0" name="Charts-style">
      <tableStyleElement dxfId="1" type="firstRowStripe"/>
      <tableStyleElement dxfId="2" type="secondRowStripe"/>
    </tableStyle>
    <tableStyle count="2" pivot="0" name="Charts-style 2">
      <tableStyleElement dxfId="1" type="firstRowStripe"/>
      <tableStyleElement dxfId="2" type="secondRowStripe"/>
    </tableStyle>
    <tableStyle count="2" pivot="0" name="Charts-style 3">
      <tableStyleElement dxfId="1" type="firstRowStripe"/>
      <tableStyleElement dxfId="2" type="secondRowStripe"/>
    </tableStyle>
    <tableStyle count="2" pivot="0" name="Charts-style 4">
      <tableStyleElement dxfId="1" type="firstRowStripe"/>
      <tableStyleElement dxfId="2" type="secondRowStripe"/>
    </tableStyle>
    <tableStyle count="2" pivot="0" name="Charts-style 5">
      <tableStyleElement dxfId="1" type="firstRowStripe"/>
      <tableStyleElement dxfId="2" type="secondRowStripe"/>
    </tableStyle>
    <tableStyle count="2" pivot="0" name="Charts-style 6">
      <tableStyleElement dxfId="1" type="firstRowStripe"/>
      <tableStyleElement dxfId="2" type="secondRowStripe"/>
    </tableStyle>
    <tableStyle count="2" pivot="0" name="Charts-style 7">
      <tableStyleElement dxfId="1" type="firstRowStripe"/>
      <tableStyleElement dxfId="2" type="secondRowStripe"/>
    </tableStyle>
    <tableStyle count="2" pivot="0" name="Charts-style 8">
      <tableStyleElement dxfId="1" type="firstRowStripe"/>
      <tableStyleElement dxfId="2" type="secondRowStripe"/>
    </tableStyle>
    <tableStyle count="2" pivot="0" name="Charts-style 9">
      <tableStyleElement dxfId="1" type="firstRowStripe"/>
      <tableStyleElement dxfId="2" type="secondRowStripe"/>
    </tableStyle>
    <tableStyle count="2" pivot="0" name="Charts-style 10">
      <tableStyleElement dxfId="1" type="firstRowStripe"/>
      <tableStyleElement dxfId="3" type="secondRowStripe"/>
    </tableStyle>
    <tableStyle count="2" pivot="0" name="Charts-style 11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1C4587"/>
                </a:solidFill>
                <a:latin typeface="+mn-lt"/>
              </a:defRPr>
            </a:pPr>
            <a:r>
              <a:rPr b="0" sz="1800">
                <a:solidFill>
                  <a:srgbClr val="1C4587"/>
                </a:solidFill>
                <a:latin typeface="+mn-lt"/>
              </a:rPr>
              <a:t>Tesla's Quarterly Production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Production!$B$22</c:f>
            </c:strRef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cat>
            <c:strRef>
              <c:f>(Production!$C$22,Production!$D$22,Production!$E$22,Production!$F$22)</c:f>
            </c:strRef>
          </c:cat>
          <c:val>
            <c:numRef>
              <c:f>(Production!$C$22,Production!$D$22,Production!$E$22,Production!$F$22)</c:f>
              <c:numCache/>
            </c:numRef>
          </c:val>
        </c:ser>
        <c:overlap val="100"/>
        <c:axId val="1917840002"/>
        <c:axId val="777514628"/>
      </c:barChart>
      <c:catAx>
        <c:axId val="1917840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777514628"/>
      </c:catAx>
      <c:valAx>
        <c:axId val="777514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191784000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35893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1C4587"/>
                </a:solidFill>
                <a:latin typeface="+mn-lt"/>
              </a:defRPr>
            </a:pPr>
            <a:r>
              <a:rPr b="0" sz="1800">
                <a:solidFill>
                  <a:srgbClr val="1C4587"/>
                </a:solidFill>
                <a:latin typeface="+mn-lt"/>
              </a:rPr>
              <a:t>Model 3 vs Model Y Deliveries Worldwide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Charts!$K$273</c:f>
            </c:strRef>
          </c:tx>
          <c:spPr>
            <a:ln cmpd="sng" w="28575">
              <a:solidFill>
                <a:srgbClr val="FF205E"/>
              </a:solidFill>
            </a:ln>
          </c:spPr>
          <c:marker>
            <c:symbol val="circle"/>
            <c:size val="7"/>
            <c:spPr>
              <a:solidFill>
                <a:srgbClr val="FF205E"/>
              </a:solidFill>
              <a:ln cmpd="sng">
                <a:solidFill>
                  <a:srgbClr val="FF205E"/>
                </a:solidFill>
              </a:ln>
            </c:spPr>
          </c:marker>
          <c:cat>
            <c:strRef>
              <c:f>Charts!$J$274:$J$307</c:f>
            </c:strRef>
          </c:cat>
          <c:val>
            <c:numRef>
              <c:f>Charts!$K$274:$K$307</c:f>
              <c:numCache/>
            </c:numRef>
          </c:val>
          <c:smooth val="0"/>
        </c:ser>
        <c:ser>
          <c:idx val="1"/>
          <c:order val="1"/>
          <c:tx>
            <c:strRef>
              <c:f>Charts!$L$273</c:f>
            </c:strRef>
          </c:tx>
          <c:spPr>
            <a:ln cmpd="sng" w="28575">
              <a:solidFill>
                <a:srgbClr val="1C4587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C4587">
                  <a:alpha val="100000"/>
                </a:srgbClr>
              </a:solidFill>
              <a:ln cmpd="sng">
                <a:solidFill>
                  <a:srgbClr val="1C4587">
                    <a:alpha val="100000"/>
                  </a:srgbClr>
                </a:solidFill>
              </a:ln>
            </c:spPr>
          </c:marker>
          <c:dPt>
            <c:idx val="15"/>
            <c:marker>
              <c:symbol val="none"/>
            </c:marker>
          </c:dPt>
          <c:cat>
            <c:strRef>
              <c:f>Charts!$J$274:$J$307</c:f>
            </c:strRef>
          </c:cat>
          <c:val>
            <c:numRef>
              <c:f>Charts!$L$274:$L$307</c:f>
              <c:numCache/>
            </c:numRef>
          </c:val>
          <c:smooth val="0"/>
        </c:ser>
        <c:axId val="2125810902"/>
        <c:axId val="1466863444"/>
      </c:lineChart>
      <c:catAx>
        <c:axId val="2125810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1466863444"/>
      </c:catAx>
      <c:valAx>
        <c:axId val="14668634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212581090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35893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1C4587"/>
                </a:solidFill>
                <a:latin typeface="+mn-lt"/>
              </a:defRPr>
            </a:pPr>
            <a:r>
              <a:rPr b="0" sz="1800">
                <a:solidFill>
                  <a:srgbClr val="1C4587"/>
                </a:solidFill>
                <a:latin typeface="+mn-lt"/>
              </a:rPr>
              <a:t>Global Production vs Deliveries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Charts!$J$450</c:f>
            </c:strRef>
          </c:tx>
          <c:spPr>
            <a:solidFill>
              <a:srgbClr val="FF205E"/>
            </a:solidFill>
            <a:ln cmpd="sng">
              <a:solidFill>
                <a:srgbClr val="000000"/>
              </a:solidFill>
            </a:ln>
          </c:spPr>
          <c:cat>
            <c:strRef>
              <c:f>(Charts!$K$450,Charts!$L$450)</c:f>
            </c:strRef>
          </c:cat>
          <c:val>
            <c:numRef>
              <c:f>(Charts!$K$450,Charts!$L$450)</c:f>
              <c:numCache/>
            </c:numRef>
          </c:val>
        </c:ser>
        <c:overlap val="100"/>
        <c:axId val="1793592638"/>
        <c:axId val="1052142622"/>
      </c:barChart>
      <c:catAx>
        <c:axId val="17935926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1052142622"/>
      </c:catAx>
      <c:valAx>
        <c:axId val="1052142622"/>
        <c:scaling>
          <c:orientation val="minMax"/>
        </c:scaling>
        <c:delete val="0"/>
        <c:axPos val="b"/>
        <c:majorGridlines>
          <c:spPr>
            <a:ln>
              <a:solidFill>
                <a:srgbClr val="1C458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179359263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35893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1C4587"/>
                </a:solidFill>
                <a:latin typeface="+mn-lt"/>
              </a:defRPr>
            </a:pPr>
            <a:r>
              <a:rPr b="0" sz="1800">
                <a:solidFill>
                  <a:srgbClr val="1C4587"/>
                </a:solidFill>
                <a:latin typeface="+mn-lt"/>
              </a:rPr>
              <a:t>Model 3 vs Model Y Deliveries in the USA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Charts!$K$313</c:f>
            </c:strRef>
          </c:tx>
          <c:spPr>
            <a:ln cmpd="sng" w="28575">
              <a:solidFill>
                <a:srgbClr val="FF205E"/>
              </a:solidFill>
            </a:ln>
          </c:spPr>
          <c:marker>
            <c:symbol val="circle"/>
            <c:size val="7"/>
            <c:spPr>
              <a:solidFill>
                <a:srgbClr val="FF205E"/>
              </a:solidFill>
              <a:ln cmpd="sng">
                <a:solidFill>
                  <a:srgbClr val="FF205E"/>
                </a:solidFill>
              </a:ln>
            </c:spPr>
          </c:marker>
          <c:cat>
            <c:strRef>
              <c:f>Charts!$J$314:$J$347</c:f>
            </c:strRef>
          </c:cat>
          <c:val>
            <c:numRef>
              <c:f>Charts!$K$314:$K$347</c:f>
              <c:numCache/>
            </c:numRef>
          </c:val>
          <c:smooth val="0"/>
        </c:ser>
        <c:ser>
          <c:idx val="1"/>
          <c:order val="1"/>
          <c:tx>
            <c:strRef>
              <c:f>Charts!$L$313</c:f>
            </c:strRef>
          </c:tx>
          <c:spPr>
            <a:ln cmpd="sng" w="28575">
              <a:solidFill>
                <a:srgbClr val="1C4587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C4587">
                  <a:alpha val="100000"/>
                </a:srgbClr>
              </a:solidFill>
              <a:ln cmpd="sng">
                <a:solidFill>
                  <a:srgbClr val="1C4587">
                    <a:alpha val="100000"/>
                  </a:srgbClr>
                </a:solidFill>
              </a:ln>
            </c:spPr>
          </c:marker>
          <c:dPt>
            <c:idx val="15"/>
            <c:marker>
              <c:symbol val="none"/>
            </c:marker>
          </c:dPt>
          <c:cat>
            <c:strRef>
              <c:f>Charts!$J$314:$J$347</c:f>
            </c:strRef>
          </c:cat>
          <c:val>
            <c:numRef>
              <c:f>Charts!$L$314:$L$347</c:f>
              <c:numCache/>
            </c:numRef>
          </c:val>
          <c:smooth val="0"/>
        </c:ser>
        <c:axId val="1958197374"/>
        <c:axId val="1892765429"/>
      </c:lineChart>
      <c:catAx>
        <c:axId val="19581973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1892765429"/>
      </c:catAx>
      <c:valAx>
        <c:axId val="1892765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195819737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35893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1C4587"/>
                </a:solidFill>
                <a:latin typeface="+mn-lt"/>
              </a:defRPr>
            </a:pPr>
            <a:r>
              <a:rPr b="0" sz="1800">
                <a:solidFill>
                  <a:srgbClr val="1C4587"/>
                </a:solidFill>
                <a:latin typeface="+mn-lt"/>
              </a:rPr>
              <a:t>Model 3 Deliveries in China, Europe and USA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Charts!$K$94</c:f>
            </c:strRef>
          </c:tx>
          <c:spPr>
            <a:ln cmpd="sng" w="28575">
              <a:solidFill>
                <a:srgbClr val="FF205E"/>
              </a:solidFill>
            </a:ln>
          </c:spPr>
          <c:marker>
            <c:symbol val="circle"/>
            <c:size val="7"/>
            <c:spPr>
              <a:solidFill>
                <a:srgbClr val="FF205E"/>
              </a:solidFill>
              <a:ln cmpd="sng">
                <a:solidFill>
                  <a:srgbClr val="FF205E"/>
                </a:solidFill>
              </a:ln>
            </c:spPr>
          </c:marker>
          <c:cat>
            <c:strRef>
              <c:f>Charts!$J$95:$J$128</c:f>
            </c:strRef>
          </c:cat>
          <c:val>
            <c:numRef>
              <c:f>Charts!$K$95:$K$128</c:f>
              <c:numCache/>
            </c:numRef>
          </c:val>
          <c:smooth val="0"/>
        </c:ser>
        <c:ser>
          <c:idx val="1"/>
          <c:order val="1"/>
          <c:tx>
            <c:strRef>
              <c:f>Charts!$L$94</c:f>
            </c:strRef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5"/>
            <c:marker>
              <c:symbol val="none"/>
            </c:marker>
          </c:dPt>
          <c:cat>
            <c:strRef>
              <c:f>Charts!$J$95:$J$128</c:f>
            </c:strRef>
          </c:cat>
          <c:val>
            <c:numRef>
              <c:f>Charts!$L$95:$L$128</c:f>
              <c:numCache/>
            </c:numRef>
          </c:val>
          <c:smooth val="0"/>
        </c:ser>
        <c:ser>
          <c:idx val="2"/>
          <c:order val="2"/>
          <c:tx>
            <c:strRef>
              <c:f>Charts!$M$94</c:f>
            </c:strRef>
          </c:tx>
          <c:spPr>
            <a:ln cmpd="sng" w="28575">
              <a:solidFill>
                <a:srgbClr val="1C4587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C4587">
                  <a:alpha val="100000"/>
                </a:srgbClr>
              </a:solidFill>
              <a:ln cmpd="sng">
                <a:solidFill>
                  <a:srgbClr val="1C4587">
                    <a:alpha val="100000"/>
                  </a:srgbClr>
                </a:solidFill>
              </a:ln>
            </c:spPr>
          </c:marker>
          <c:cat>
            <c:strRef>
              <c:f>Charts!$J$95:$J$128</c:f>
            </c:strRef>
          </c:cat>
          <c:val>
            <c:numRef>
              <c:f>Charts!$M$95:$M$128</c:f>
              <c:numCache/>
            </c:numRef>
          </c:val>
          <c:smooth val="0"/>
        </c:ser>
        <c:axId val="259881664"/>
        <c:axId val="655821997"/>
      </c:lineChart>
      <c:catAx>
        <c:axId val="259881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655821997"/>
      </c:catAx>
      <c:valAx>
        <c:axId val="655821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25988166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35893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1C4587"/>
                </a:solidFill>
                <a:latin typeface="+mn-lt"/>
              </a:defRPr>
            </a:pPr>
            <a:r>
              <a:rPr b="0" sz="1800">
                <a:solidFill>
                  <a:srgbClr val="1C4587"/>
                </a:solidFill>
                <a:latin typeface="+mn-lt"/>
              </a:rPr>
              <a:t>Model Y Deliveries in China, Europe and USA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Charts!$K$134</c:f>
            </c:strRef>
          </c:tx>
          <c:spPr>
            <a:ln cmpd="sng" w="28575">
              <a:solidFill>
                <a:srgbClr val="FF205E"/>
              </a:solidFill>
            </a:ln>
          </c:spPr>
          <c:marker>
            <c:symbol val="circle"/>
            <c:size val="7"/>
            <c:spPr>
              <a:solidFill>
                <a:srgbClr val="FF205E"/>
              </a:solidFill>
              <a:ln cmpd="sng">
                <a:solidFill>
                  <a:srgbClr val="FF205E"/>
                </a:solidFill>
              </a:ln>
            </c:spPr>
          </c:marker>
          <c:cat>
            <c:strRef>
              <c:f>Charts!$J$135:$J$158</c:f>
            </c:strRef>
          </c:cat>
          <c:val>
            <c:numRef>
              <c:f>Charts!$K$135:$K$158</c:f>
              <c:numCache/>
            </c:numRef>
          </c:val>
          <c:smooth val="0"/>
        </c:ser>
        <c:ser>
          <c:idx val="1"/>
          <c:order val="1"/>
          <c:tx>
            <c:strRef>
              <c:f>Charts!$L$134</c:f>
            </c:strRef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5"/>
            <c:marker>
              <c:symbol val="none"/>
            </c:marker>
          </c:dPt>
          <c:cat>
            <c:strRef>
              <c:f>Charts!$J$135:$J$158</c:f>
            </c:strRef>
          </c:cat>
          <c:val>
            <c:numRef>
              <c:f>Charts!$L$135:$L$158</c:f>
              <c:numCache/>
            </c:numRef>
          </c:val>
          <c:smooth val="0"/>
        </c:ser>
        <c:ser>
          <c:idx val="2"/>
          <c:order val="2"/>
          <c:tx>
            <c:strRef>
              <c:f>Charts!$M$134</c:f>
            </c:strRef>
          </c:tx>
          <c:spPr>
            <a:ln cmpd="sng" w="28575">
              <a:solidFill>
                <a:srgbClr val="1C4587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C4587">
                  <a:alpha val="100000"/>
                </a:srgbClr>
              </a:solidFill>
              <a:ln cmpd="sng">
                <a:solidFill>
                  <a:srgbClr val="1C4587">
                    <a:alpha val="100000"/>
                  </a:srgbClr>
                </a:solidFill>
              </a:ln>
            </c:spPr>
          </c:marker>
          <c:cat>
            <c:strRef>
              <c:f>Charts!$J$135:$J$158</c:f>
            </c:strRef>
          </c:cat>
          <c:val>
            <c:numRef>
              <c:f>Charts!$M$135:$M$158</c:f>
              <c:numCache/>
            </c:numRef>
          </c:val>
          <c:smooth val="0"/>
        </c:ser>
        <c:axId val="946399958"/>
        <c:axId val="700029495"/>
      </c:lineChart>
      <c:catAx>
        <c:axId val="9463999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700029495"/>
      </c:catAx>
      <c:valAx>
        <c:axId val="700029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94639995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35893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1C4587"/>
                </a:solidFill>
                <a:latin typeface="+mn-lt"/>
              </a:defRPr>
            </a:pPr>
            <a:r>
              <a:rPr b="0" sz="1800">
                <a:solidFill>
                  <a:srgbClr val="1C4587"/>
                </a:solidFill>
                <a:latin typeface="+mn-lt"/>
              </a:rPr>
              <a:t>Model 3/Y Deliveries in China, Europe and USA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Charts!$K$169</c:f>
            </c:strRef>
          </c:tx>
          <c:spPr>
            <a:ln cmpd="sng" w="28575">
              <a:solidFill>
                <a:srgbClr val="FF205E"/>
              </a:solidFill>
            </a:ln>
          </c:spPr>
          <c:marker>
            <c:symbol val="circle"/>
            <c:size val="7"/>
            <c:spPr>
              <a:solidFill>
                <a:srgbClr val="FF205E"/>
              </a:solidFill>
              <a:ln cmpd="sng">
                <a:solidFill>
                  <a:srgbClr val="FF205E"/>
                </a:solidFill>
              </a:ln>
            </c:spPr>
          </c:marker>
          <c:cat>
            <c:strRef>
              <c:f>Charts!$J$170:$J$203</c:f>
            </c:strRef>
          </c:cat>
          <c:val>
            <c:numRef>
              <c:f>Charts!$K$170:$K$203</c:f>
              <c:numCache/>
            </c:numRef>
          </c:val>
          <c:smooth val="0"/>
        </c:ser>
        <c:ser>
          <c:idx val="1"/>
          <c:order val="1"/>
          <c:tx>
            <c:strRef>
              <c:f>Charts!$L$169</c:f>
            </c:strRef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5"/>
            <c:marker>
              <c:symbol val="none"/>
            </c:marker>
          </c:dPt>
          <c:cat>
            <c:strRef>
              <c:f>Charts!$J$170:$J$203</c:f>
            </c:strRef>
          </c:cat>
          <c:val>
            <c:numRef>
              <c:f>Charts!$L$170:$L$203</c:f>
              <c:numCache/>
            </c:numRef>
          </c:val>
          <c:smooth val="0"/>
        </c:ser>
        <c:ser>
          <c:idx val="2"/>
          <c:order val="2"/>
          <c:tx>
            <c:strRef>
              <c:f>Charts!$M$169</c:f>
            </c:strRef>
          </c:tx>
          <c:spPr>
            <a:ln cmpd="sng" w="28575">
              <a:solidFill>
                <a:srgbClr val="1C4587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C4587">
                  <a:alpha val="100000"/>
                </a:srgbClr>
              </a:solidFill>
              <a:ln cmpd="sng">
                <a:solidFill>
                  <a:srgbClr val="1C4587">
                    <a:alpha val="100000"/>
                  </a:srgbClr>
                </a:solidFill>
              </a:ln>
            </c:spPr>
          </c:marker>
          <c:cat>
            <c:strRef>
              <c:f>Charts!$J$170:$J$203</c:f>
            </c:strRef>
          </c:cat>
          <c:val>
            <c:numRef>
              <c:f>Charts!$M$170:$M$203</c:f>
              <c:numCache/>
            </c:numRef>
          </c:val>
          <c:smooth val="0"/>
        </c:ser>
        <c:axId val="204267532"/>
        <c:axId val="551123178"/>
      </c:lineChart>
      <c:catAx>
        <c:axId val="204267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551123178"/>
      </c:catAx>
      <c:valAx>
        <c:axId val="5511231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20426753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35893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1C4587"/>
                </a:solidFill>
                <a:latin typeface="+mn-lt"/>
              </a:defRPr>
            </a:pPr>
            <a:r>
              <a:rPr b="0" sz="1800">
                <a:solidFill>
                  <a:srgbClr val="1C4587"/>
                </a:solidFill>
                <a:latin typeface="+mn-lt"/>
              </a:rPr>
              <a:t>Model 3 vs Model Y Deliveries in the China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Charts!$K$353</c:f>
            </c:strRef>
          </c:tx>
          <c:spPr>
            <a:ln cmpd="sng" w="28575">
              <a:solidFill>
                <a:srgbClr val="FF205E"/>
              </a:solidFill>
            </a:ln>
          </c:spPr>
          <c:marker>
            <c:symbol val="circle"/>
            <c:size val="7"/>
            <c:spPr>
              <a:solidFill>
                <a:srgbClr val="FF205E"/>
              </a:solidFill>
              <a:ln cmpd="sng">
                <a:solidFill>
                  <a:srgbClr val="FF205E"/>
                </a:solidFill>
              </a:ln>
            </c:spPr>
          </c:marker>
          <c:cat>
            <c:strRef>
              <c:f>Charts!$J$354:$J$381</c:f>
            </c:strRef>
          </c:cat>
          <c:val>
            <c:numRef>
              <c:f>Charts!$K$354:$K$381</c:f>
              <c:numCache/>
            </c:numRef>
          </c:val>
          <c:smooth val="0"/>
        </c:ser>
        <c:ser>
          <c:idx val="1"/>
          <c:order val="1"/>
          <c:tx>
            <c:strRef>
              <c:f>Charts!$L$353</c:f>
            </c:strRef>
          </c:tx>
          <c:spPr>
            <a:ln cmpd="sng" w="28575">
              <a:solidFill>
                <a:srgbClr val="1C4587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C4587">
                  <a:alpha val="100000"/>
                </a:srgbClr>
              </a:solidFill>
              <a:ln cmpd="sng">
                <a:solidFill>
                  <a:srgbClr val="1C4587">
                    <a:alpha val="100000"/>
                  </a:srgbClr>
                </a:solidFill>
              </a:ln>
            </c:spPr>
          </c:marker>
          <c:dPt>
            <c:idx val="15"/>
            <c:marker>
              <c:symbol val="none"/>
            </c:marker>
          </c:dPt>
          <c:cat>
            <c:strRef>
              <c:f>Charts!$J$354:$J$381</c:f>
            </c:strRef>
          </c:cat>
          <c:val>
            <c:numRef>
              <c:f>Charts!$L$354:$L$381</c:f>
              <c:numCache/>
            </c:numRef>
          </c:val>
          <c:smooth val="0"/>
        </c:ser>
        <c:axId val="199872458"/>
        <c:axId val="602800750"/>
      </c:lineChart>
      <c:catAx>
        <c:axId val="199872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602800750"/>
      </c:catAx>
      <c:valAx>
        <c:axId val="6028007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19987245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35893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1C4587"/>
                </a:solidFill>
                <a:latin typeface="+mn-lt"/>
              </a:defRPr>
            </a:pPr>
            <a:r>
              <a:rPr b="0" sz="1800">
                <a:solidFill>
                  <a:srgbClr val="1C4587"/>
                </a:solidFill>
                <a:latin typeface="+mn-lt"/>
              </a:rPr>
              <a:t>Tesla Deliveries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Charts!$K$4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Charts!$J$5:$J$18</c:f>
            </c:strRef>
          </c:cat>
          <c:val>
            <c:numRef>
              <c:f>Charts!$K$5:$K$18</c:f>
              <c:numCache/>
            </c:numRef>
          </c:val>
        </c:ser>
        <c:ser>
          <c:idx val="1"/>
          <c:order val="1"/>
          <c:tx>
            <c:strRef>
              <c:f>Charts!$L$4</c:f>
            </c:strRef>
          </c:tx>
          <c:spPr>
            <a:solidFill>
              <a:srgbClr val="E63E68"/>
            </a:solidFill>
            <a:ln cmpd="sng">
              <a:solidFill>
                <a:srgbClr val="000000"/>
              </a:solidFill>
            </a:ln>
          </c:spPr>
          <c:dPt>
            <c:idx val="15"/>
          </c:dPt>
          <c:cat>
            <c:strRef>
              <c:f>Charts!$J$5:$J$18</c:f>
            </c:strRef>
          </c:cat>
          <c:val>
            <c:numRef>
              <c:f>Charts!$L$5:$L$18</c:f>
              <c:numCache/>
            </c:numRef>
          </c:val>
        </c:ser>
        <c:ser>
          <c:idx val="2"/>
          <c:order val="2"/>
          <c:tx>
            <c:strRef>
              <c:f>Charts!$M$4</c:f>
            </c:strRef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cat>
            <c:strRef>
              <c:f>Charts!$J$5:$J$18</c:f>
            </c:strRef>
          </c:cat>
          <c:val>
            <c:numRef>
              <c:f>Charts!$M$5:$M$18</c:f>
              <c:numCache/>
            </c:numRef>
          </c:val>
        </c:ser>
        <c:ser>
          <c:idx val="3"/>
          <c:order val="3"/>
          <c:tx>
            <c:strRef>
              <c:f>Charts!$N$4</c:f>
            </c:strRef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cat>
            <c:strRef>
              <c:f>Charts!$J$5:$J$18</c:f>
            </c:strRef>
          </c:cat>
          <c:val>
            <c:numRef>
              <c:f>Charts!$N$5:$N$18</c:f>
              <c:numCache/>
            </c:numRef>
          </c:val>
        </c:ser>
        <c:ser>
          <c:idx val="4"/>
          <c:order val="4"/>
          <c:tx>
            <c:strRef>
              <c:f>Charts!$O$4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Charts!$J$5:$J$18</c:f>
            </c:strRef>
          </c:cat>
          <c:val>
            <c:numRef>
              <c:f>Charts!$O$5:$O$18</c:f>
              <c:numCache/>
            </c:numRef>
          </c:val>
        </c:ser>
        <c:overlap val="100"/>
        <c:axId val="2135596860"/>
        <c:axId val="1826228724"/>
      </c:barChart>
      <c:catAx>
        <c:axId val="2135596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1826228724"/>
      </c:catAx>
      <c:valAx>
        <c:axId val="18262287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213559686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35893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1C4587"/>
                </a:solidFill>
                <a:latin typeface="+mn-lt"/>
              </a:defRPr>
            </a:pPr>
            <a:r>
              <a:rPr b="0" sz="1800">
                <a:solidFill>
                  <a:srgbClr val="1C4587"/>
                </a:solidFill>
                <a:latin typeface="+mn-lt"/>
              </a:rPr>
              <a:t>Quarterly Tesla Deliveries by Region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Charts!$K$34</c:f>
            </c:strRef>
          </c:tx>
          <c:spPr>
            <a:solidFill>
              <a:srgbClr val="E63E68"/>
            </a:solidFill>
            <a:ln cmpd="sng">
              <a:solidFill>
                <a:srgbClr val="000000"/>
              </a:solidFill>
            </a:ln>
          </c:spPr>
          <c:cat>
            <c:strRef>
              <c:f>Charts!$J$35:$J$88</c:f>
            </c:strRef>
          </c:cat>
          <c:val>
            <c:numRef>
              <c:f>Charts!$K$35:$K$88</c:f>
              <c:numCache/>
            </c:numRef>
          </c:val>
        </c:ser>
        <c:ser>
          <c:idx val="1"/>
          <c:order val="1"/>
          <c:tx>
            <c:strRef>
              <c:f>Charts!$L$34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5"/>
          </c:dPt>
          <c:cat>
            <c:strRef>
              <c:f>Charts!$J$35:$J$88</c:f>
            </c:strRef>
          </c:cat>
          <c:val>
            <c:numRef>
              <c:f>Charts!$L$35:$L$88</c:f>
              <c:numCache/>
            </c:numRef>
          </c:val>
        </c:ser>
        <c:ser>
          <c:idx val="2"/>
          <c:order val="2"/>
          <c:tx>
            <c:strRef>
              <c:f>Charts!$M$34</c:f>
            </c:strRef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cat>
            <c:strRef>
              <c:f>Charts!$J$35:$J$88</c:f>
            </c:strRef>
          </c:cat>
          <c:val>
            <c:numRef>
              <c:f>Charts!$M$35:$M$88</c:f>
              <c:numCache/>
            </c:numRef>
          </c:val>
        </c:ser>
        <c:overlap val="100"/>
        <c:axId val="884673893"/>
        <c:axId val="726407061"/>
      </c:barChart>
      <c:catAx>
        <c:axId val="884673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726407061"/>
      </c:catAx>
      <c:valAx>
        <c:axId val="7264070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88467389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35893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1C4587"/>
                </a:solidFill>
                <a:latin typeface="+mn-lt"/>
              </a:defRPr>
            </a:pPr>
            <a:r>
              <a:rPr b="0" sz="1800">
                <a:solidFill>
                  <a:srgbClr val="1C4587"/>
                </a:solidFill>
                <a:latin typeface="+mn-lt"/>
              </a:rPr>
              <a:t>Tesla Model S/X Deliveries by Region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Charts!$M$388</c:f>
            </c:strRef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cat>
            <c:strRef>
              <c:f>Charts!$J$389:$J$442</c:f>
            </c:strRef>
          </c:cat>
          <c:val>
            <c:numRef>
              <c:f>Charts!$M$389:$M$442</c:f>
              <c:numCache/>
            </c:numRef>
          </c:val>
        </c:ser>
        <c:ser>
          <c:idx val="1"/>
          <c:order val="1"/>
          <c:tx>
            <c:strRef>
              <c:f>Charts!$L$388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5"/>
          </c:dPt>
          <c:cat>
            <c:strRef>
              <c:f>Charts!$J$389:$J$442</c:f>
            </c:strRef>
          </c:cat>
          <c:val>
            <c:numRef>
              <c:f>Charts!$L$389:$L$442</c:f>
              <c:numCache/>
            </c:numRef>
          </c:val>
        </c:ser>
        <c:ser>
          <c:idx val="2"/>
          <c:order val="2"/>
          <c:tx>
            <c:strRef>
              <c:f>Charts!$K$388</c:f>
            </c:strRef>
          </c:tx>
          <c:spPr>
            <a:solidFill>
              <a:srgbClr val="FF205E"/>
            </a:solidFill>
            <a:ln cmpd="sng">
              <a:solidFill>
                <a:srgbClr val="000000"/>
              </a:solidFill>
            </a:ln>
          </c:spPr>
          <c:cat>
            <c:strRef>
              <c:f>Charts!$J$389:$J$442</c:f>
            </c:strRef>
          </c:cat>
          <c:val>
            <c:numRef>
              <c:f>Charts!$K$389:$K$442</c:f>
              <c:numCache/>
            </c:numRef>
          </c:val>
        </c:ser>
        <c:overlap val="100"/>
        <c:axId val="1071253594"/>
        <c:axId val="646725248"/>
      </c:barChart>
      <c:catAx>
        <c:axId val="1071253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646725248"/>
      </c:catAx>
      <c:valAx>
        <c:axId val="646725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107125359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35893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1C4587"/>
                </a:solidFill>
                <a:latin typeface="+mn-lt"/>
              </a:defRPr>
            </a:pPr>
            <a:r>
              <a:rPr b="0" sz="1800">
                <a:solidFill>
                  <a:srgbClr val="1C4587"/>
                </a:solidFill>
                <a:latin typeface="+mn-lt"/>
              </a:rPr>
              <a:t>Tesla Deliveries in Asia-Pacific (including China), Europe and North America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Charts!$K$210</c:f>
            </c:strRef>
          </c:tx>
          <c:spPr>
            <a:ln cmpd="sng" w="28575">
              <a:solidFill>
                <a:srgbClr val="FF205E"/>
              </a:solidFill>
            </a:ln>
          </c:spPr>
          <c:marker>
            <c:symbol val="circle"/>
            <c:size val="7"/>
            <c:spPr>
              <a:solidFill>
                <a:srgbClr val="FF205E"/>
              </a:solidFill>
              <a:ln cmpd="sng">
                <a:solidFill>
                  <a:srgbClr val="FF205E"/>
                </a:solidFill>
              </a:ln>
            </c:spPr>
          </c:marker>
          <c:cat>
            <c:strRef>
              <c:f>Charts!$J$211:$J$264</c:f>
            </c:strRef>
          </c:cat>
          <c:val>
            <c:numRef>
              <c:f>Charts!$K$211:$K$264</c:f>
              <c:numCache/>
            </c:numRef>
          </c:val>
          <c:smooth val="0"/>
        </c:ser>
        <c:ser>
          <c:idx val="1"/>
          <c:order val="1"/>
          <c:tx>
            <c:strRef>
              <c:f>Charts!$L$210</c:f>
            </c:strRef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5"/>
            <c:marker>
              <c:symbol val="none"/>
            </c:marker>
          </c:dPt>
          <c:cat>
            <c:strRef>
              <c:f>Charts!$J$211:$J$264</c:f>
            </c:strRef>
          </c:cat>
          <c:val>
            <c:numRef>
              <c:f>Charts!$L$211:$L$264</c:f>
              <c:numCache/>
            </c:numRef>
          </c:val>
          <c:smooth val="0"/>
        </c:ser>
        <c:ser>
          <c:idx val="2"/>
          <c:order val="2"/>
          <c:tx>
            <c:strRef>
              <c:f>Charts!$M$210</c:f>
            </c:strRef>
          </c:tx>
          <c:spPr>
            <a:ln cmpd="sng" w="28575">
              <a:solidFill>
                <a:srgbClr val="1C4587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C4587">
                  <a:alpha val="100000"/>
                </a:srgbClr>
              </a:solidFill>
              <a:ln cmpd="sng">
                <a:solidFill>
                  <a:srgbClr val="1C4587">
                    <a:alpha val="100000"/>
                  </a:srgbClr>
                </a:solidFill>
              </a:ln>
            </c:spPr>
          </c:marker>
          <c:cat>
            <c:strRef>
              <c:f>Charts!$J$211:$J$264</c:f>
            </c:strRef>
          </c:cat>
          <c:val>
            <c:numRef>
              <c:f>Charts!$M$211:$M$264</c:f>
              <c:numCache/>
            </c:numRef>
          </c:val>
          <c:smooth val="0"/>
        </c:ser>
        <c:axId val="1104525423"/>
        <c:axId val="1830581021"/>
      </c:lineChart>
      <c:catAx>
        <c:axId val="1104525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1830581021"/>
      </c:catAx>
      <c:valAx>
        <c:axId val="18305810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EFEFEF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110452542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35893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1C4587"/>
                </a:solidFill>
                <a:latin typeface="+mn-lt"/>
              </a:defRPr>
            </a:pPr>
            <a:r>
              <a:rPr b="0" sz="1600">
                <a:solidFill>
                  <a:srgbClr val="1C4587"/>
                </a:solidFill>
                <a:latin typeface="+mn-lt"/>
              </a:rPr>
              <a:t>Seasonality of Tesla Sales in the U.S.</a:t>
            </a:r>
          </a:p>
        </c:rich>
      </c:tx>
      <c:layout>
        <c:manualLayout>
          <c:xMode val="edge"/>
          <c:yMode val="edge"/>
          <c:x val="0.03195615514333895"/>
          <c:y val="0.04472295514511873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Seasonality!$C$28</c:f>
            </c:strRef>
          </c:tx>
          <c:spPr>
            <a:solidFill>
              <a:srgbClr val="FFD966"/>
            </a:solidFill>
            <a:ln cmpd="sng">
              <a:solidFill>
                <a:srgbClr val="3C78D8">
                  <a:alpha val="0"/>
                </a:srgbClr>
              </a:solidFill>
            </a:ln>
          </c:spPr>
          <c:cat>
            <c:strRef>
              <c:f>Seasonality!$B$29:$B$35</c:f>
            </c:strRef>
          </c:cat>
          <c:val>
            <c:numRef>
              <c:f>Seasonality!$C$29:$C$35</c:f>
              <c:numCache/>
            </c:numRef>
          </c:val>
        </c:ser>
        <c:ser>
          <c:idx val="1"/>
          <c:order val="1"/>
          <c:tx>
            <c:strRef>
              <c:f>Seasonality!$D$28</c:f>
            </c:strRef>
          </c:tx>
          <c:spPr>
            <a:solidFill>
              <a:srgbClr val="3C78D8"/>
            </a:solidFill>
            <a:ln cmpd="sng">
              <a:solidFill>
                <a:srgbClr val="3C78D8">
                  <a:alpha val="0"/>
                </a:srgbClr>
              </a:solidFill>
            </a:ln>
          </c:spPr>
          <c:cat>
            <c:strRef>
              <c:f>Seasonality!$B$29:$B$35</c:f>
            </c:strRef>
          </c:cat>
          <c:val>
            <c:numRef>
              <c:f>Seasonality!$D$29:$D$35</c:f>
              <c:numCache/>
            </c:numRef>
          </c:val>
        </c:ser>
        <c:ser>
          <c:idx val="2"/>
          <c:order val="2"/>
          <c:tx>
            <c:strRef>
              <c:f>Seasonality!$E$28</c:f>
            </c:strRef>
          </c:tx>
          <c:spPr>
            <a:solidFill>
              <a:srgbClr val="1C4587"/>
            </a:solidFill>
            <a:ln cmpd="sng">
              <a:solidFill>
                <a:srgbClr val="3C78D8">
                  <a:alpha val="0"/>
                </a:srgbClr>
              </a:solidFill>
            </a:ln>
          </c:spPr>
          <c:cat>
            <c:strRef>
              <c:f>Seasonality!$B$29:$B$35</c:f>
            </c:strRef>
          </c:cat>
          <c:val>
            <c:numRef>
              <c:f>Seasonality!$E$29:$E$35</c:f>
              <c:numCache/>
            </c:numRef>
          </c:val>
        </c:ser>
        <c:ser>
          <c:idx val="3"/>
          <c:order val="3"/>
          <c:tx>
            <c:strRef>
              <c:f>Seasonality!$F$28</c:f>
            </c:strRef>
          </c:tx>
          <c:spPr>
            <a:solidFill>
              <a:srgbClr val="FF205E"/>
            </a:solidFill>
            <a:ln cmpd="sng">
              <a:solidFill>
                <a:srgbClr val="3C78D8">
                  <a:alpha val="0"/>
                </a:srgbClr>
              </a:solidFill>
            </a:ln>
          </c:spPr>
          <c:cat>
            <c:strRef>
              <c:f>Seasonality!$B$29:$B$35</c:f>
            </c:strRef>
          </c:cat>
          <c:val>
            <c:numRef>
              <c:f>Seasonality!$F$29:$F$35</c:f>
              <c:numCache/>
            </c:numRef>
          </c:val>
        </c:ser>
        <c:axId val="688707928"/>
        <c:axId val="659231793"/>
      </c:barChart>
      <c:catAx>
        <c:axId val="688707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659231793"/>
      </c:catAx>
      <c:valAx>
        <c:axId val="6592317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C4587"/>
                </a:solidFill>
                <a:latin typeface="+mn-lt"/>
              </a:defRPr>
            </a:pPr>
          </a:p>
        </c:txPr>
        <c:crossAx val="68870792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35893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1C4587"/>
                </a:solidFill>
                <a:latin typeface="+mn-lt"/>
              </a:defRPr>
            </a:pPr>
            <a:r>
              <a:rPr b="0" sz="1800">
                <a:solidFill>
                  <a:srgbClr val="1C4587"/>
                </a:solidFill>
                <a:latin typeface="+mn-lt"/>
              </a:rPr>
              <a:t>Cumulative Model 3/Y Sales in China, Europe and the USA since 2020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'Cumulative Model 3Y sales'!$C$41</c:f>
            </c:strRef>
          </c:tx>
          <c:spPr>
            <a:ln cmpd="sng" w="28575">
              <a:solidFill>
                <a:srgbClr val="1C4587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1C4587">
                  <a:alpha val="100000"/>
                </a:srgbClr>
              </a:solidFill>
              <a:ln cmpd="sng">
                <a:solidFill>
                  <a:srgbClr val="1C4587">
                    <a:alpha val="100000"/>
                  </a:srgbClr>
                </a:solidFill>
              </a:ln>
            </c:spPr>
          </c:marker>
          <c:cat>
            <c:strRef>
              <c:f>'Cumulative Model 3Y sales'!$B$42:$B$55</c:f>
            </c:strRef>
          </c:cat>
          <c:val>
            <c:numRef>
              <c:f>'Cumulative Model 3Y sales'!$C$42:$C$55</c:f>
              <c:numCache/>
            </c:numRef>
          </c:val>
          <c:smooth val="0"/>
        </c:ser>
        <c:ser>
          <c:idx val="1"/>
          <c:order val="1"/>
          <c:tx>
            <c:strRef>
              <c:f>'Cumulative Model 3Y sales'!$D$41</c:f>
            </c:strRef>
          </c:tx>
          <c:spPr>
            <a:ln cmpd="sng" w="28575">
              <a:solidFill>
                <a:srgbClr val="FF205E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FF205E">
                  <a:alpha val="100000"/>
                </a:srgbClr>
              </a:solidFill>
              <a:ln cmpd="sng">
                <a:solidFill>
                  <a:srgbClr val="FF205E">
                    <a:alpha val="100000"/>
                  </a:srgbClr>
                </a:solidFill>
              </a:ln>
            </c:spPr>
          </c:marker>
          <c:cat>
            <c:strRef>
              <c:f>'Cumulative Model 3Y sales'!$B$42:$B$55</c:f>
            </c:strRef>
          </c:cat>
          <c:val>
            <c:numRef>
              <c:f>'Cumulative Model 3Y sales'!$D$42:$D$55</c:f>
              <c:numCache/>
            </c:numRef>
          </c:val>
          <c:smooth val="0"/>
        </c:ser>
        <c:ser>
          <c:idx val="2"/>
          <c:order val="2"/>
          <c:tx>
            <c:strRef>
              <c:f>'Cumulative Model 3Y sales'!$E$41</c:f>
            </c:strRef>
          </c:tx>
          <c:spPr>
            <a:ln cmpd="sng" w="28575">
              <a:solidFill>
                <a:srgbClr val="4285F4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4285F4">
                  <a:alpha val="100000"/>
                </a:srgbClr>
              </a:solidFill>
              <a:ln cmpd="sng">
                <a:solidFill>
                  <a:srgbClr val="4285F4">
                    <a:alpha val="100000"/>
                  </a:srgbClr>
                </a:solidFill>
              </a:ln>
            </c:spPr>
          </c:marker>
          <c:cat>
            <c:strRef>
              <c:f>'Cumulative Model 3Y sales'!$B$42:$B$55</c:f>
            </c:strRef>
          </c:cat>
          <c:val>
            <c:numRef>
              <c:f>'Cumulative Model 3Y sales'!$E$42:$E$55</c:f>
              <c:numCache/>
            </c:numRef>
          </c:val>
          <c:smooth val="0"/>
        </c:ser>
        <c:axId val="1358305373"/>
        <c:axId val="1217182991"/>
      </c:lineChart>
      <c:catAx>
        <c:axId val="13583053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300">
                <a:solidFill>
                  <a:srgbClr val="1C4587"/>
                </a:solidFill>
                <a:latin typeface="+mn-lt"/>
              </a:defRPr>
            </a:pPr>
          </a:p>
        </c:txPr>
        <c:crossAx val="1217182991"/>
      </c:catAx>
      <c:valAx>
        <c:axId val="1217182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C4587"/>
                    </a:solidFill>
                    <a:latin typeface="+mn-lt"/>
                  </a:defRPr>
                </a:pPr>
                <a:r>
                  <a:rPr b="0">
                    <a:solidFill>
                      <a:srgbClr val="1C4587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300">
                <a:solidFill>
                  <a:srgbClr val="1C4587"/>
                </a:solidFill>
                <a:latin typeface="+mn-lt"/>
              </a:defRPr>
            </a:pPr>
          </a:p>
        </c:txPr>
        <c:crossAx val="1358305373"/>
      </c:valAx>
    </c:plotArea>
    <c:legend>
      <c:legendPos val="b"/>
      <c:overlay val="0"/>
      <c:txPr>
        <a:bodyPr/>
        <a:lstStyle/>
        <a:p>
          <a:pPr lvl="0">
            <a:defRPr b="0" sz="1400">
              <a:solidFill>
                <a:srgbClr val="335893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11" Type="http://schemas.openxmlformats.org/officeDocument/2006/relationships/chart" Target="../charts/chart12.xml"/><Relationship Id="rId10" Type="http://schemas.openxmlformats.org/officeDocument/2006/relationships/chart" Target="../charts/chart11.xml"/><Relationship Id="rId9" Type="http://schemas.openxmlformats.org/officeDocument/2006/relationships/chart" Target="../charts/chart10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83</xdr:row>
      <xdr:rowOff>180975</xdr:rowOff>
    </xdr:from>
    <xdr:ext cx="7000875" cy="4143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271</xdr:row>
      <xdr:rowOff>0</xdr:rowOff>
    </xdr:from>
    <xdr:ext cx="7000875" cy="4143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447</xdr:row>
      <xdr:rowOff>200025</xdr:rowOff>
    </xdr:from>
    <xdr:ext cx="7000875" cy="56483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310</xdr:row>
      <xdr:rowOff>190500</xdr:rowOff>
    </xdr:from>
    <xdr:ext cx="7000875" cy="41433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0</xdr:colOff>
      <xdr:row>92</xdr:row>
      <xdr:rowOff>0</xdr:rowOff>
    </xdr:from>
    <xdr:ext cx="7000875" cy="41433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132</xdr:row>
      <xdr:rowOff>0</xdr:rowOff>
    </xdr:from>
    <xdr:ext cx="7000875" cy="41433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0</xdr:colOff>
      <xdr:row>167</xdr:row>
      <xdr:rowOff>0</xdr:rowOff>
    </xdr:from>
    <xdr:ext cx="7000875" cy="41433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0</xdr:colOff>
      <xdr:row>351</xdr:row>
      <xdr:rowOff>0</xdr:rowOff>
    </xdr:from>
    <xdr:ext cx="7000875" cy="41433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</xdr:col>
      <xdr:colOff>47625</xdr:colOff>
      <xdr:row>1</xdr:row>
      <xdr:rowOff>190500</xdr:rowOff>
    </xdr:from>
    <xdr:ext cx="7000875" cy="41433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0</xdr:colOff>
      <xdr:row>32</xdr:row>
      <xdr:rowOff>0</xdr:rowOff>
    </xdr:from>
    <xdr:ext cx="7000875" cy="41433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</xdr:col>
      <xdr:colOff>0</xdr:colOff>
      <xdr:row>386</xdr:row>
      <xdr:rowOff>0</xdr:rowOff>
    </xdr:from>
    <xdr:ext cx="7000875" cy="41433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</xdr:col>
      <xdr:colOff>0</xdr:colOff>
      <xdr:row>208</xdr:row>
      <xdr:rowOff>0</xdr:rowOff>
    </xdr:from>
    <xdr:ext cx="7000875" cy="41433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38100</xdr:rowOff>
    </xdr:from>
    <xdr:ext cx="5753100" cy="36099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847725</xdr:colOff>
      <xdr:row>0</xdr:row>
      <xdr:rowOff>95250</xdr:rowOff>
    </xdr:from>
    <xdr:ext cx="5591175" cy="38004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J5:P18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harts-style" showColumnStripes="0" showFirstColumn="1" showLastColumn="1" showRowStripes="1"/>
</table>
</file>

<file path=xl/tables/table2.xml><?xml version="1.0" encoding="utf-8"?>
<table xmlns="http://schemas.openxmlformats.org/spreadsheetml/2006/main" headerRowCount="0" ref="J35:N88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Charts-style 2" showColumnStripes="0" showFirstColumn="1" showLastColumn="1" showRowStripes="1"/>
</table>
</file>

<file path=xl/tables/table3.xml><?xml version="1.0" encoding="utf-8"?>
<table xmlns="http://schemas.openxmlformats.org/spreadsheetml/2006/main" headerRowCount="0" ref="J95:N128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Charts-style 3" showColumnStripes="0" showFirstColumn="1" showLastColumn="1" showRowStripes="1"/>
</table>
</file>

<file path=xl/tables/table4.xml><?xml version="1.0" encoding="utf-8"?>
<table xmlns="http://schemas.openxmlformats.org/spreadsheetml/2006/main" headerRowCount="0" ref="J135:N158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Charts-style 4" showColumnStripes="0" showFirstColumn="1" showLastColumn="1" showRowStripes="1"/>
</table>
</file>

<file path=xl/tables/table5.xml><?xml version="1.0" encoding="utf-8"?>
<table xmlns="http://schemas.openxmlformats.org/spreadsheetml/2006/main" headerRowCount="0" ref="J170:N203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Charts-style 5" showColumnStripes="0" showFirstColumn="1" showLastColumn="1" showRowStripes="1"/>
</table>
</file>

<file path=xl/tables/table6.xml><?xml version="1.0" encoding="utf-8"?>
<table xmlns="http://schemas.openxmlformats.org/spreadsheetml/2006/main" headerRowCount="0" ref="J211:N264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Charts-style 6" showColumnStripes="0" showFirstColumn="1" showLastColumn="1" showRowStripes="1"/>
</table>
</file>

<file path=xl/tables/table7.xml><?xml version="1.0" encoding="utf-8"?>
<table xmlns="http://schemas.openxmlformats.org/spreadsheetml/2006/main" headerRowCount="0" ref="J274:M307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Charts-style 7" showColumnStripes="0" showFirstColumn="1" showLastColumn="1" showRowStripes="1"/>
</table>
</file>

<file path=xl/tables/table8.xml><?xml version="1.0" encoding="utf-8"?>
<table xmlns="http://schemas.openxmlformats.org/spreadsheetml/2006/main" headerRowCount="0" ref="J314:M347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Charts-style 8" showColumnStripes="0" showFirstColumn="1" showLastColumn="1" showRowStripes="1"/>
</table>
</file>

<file path=xl/tables/table9.xml><?xml version="1.0" encoding="utf-8"?>
<table xmlns="http://schemas.openxmlformats.org/spreadsheetml/2006/main" headerRowCount="0" ref="J354:M381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Chart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J389:M442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Chart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J451:L504" displayName="Table_11" name="Table_11" id="11">
  <tableColumns count="3">
    <tableColumn name="Column1" id="1"/>
    <tableColumn name="Column2" id="2"/>
    <tableColumn name="Column3" id="3"/>
  </tableColumns>
  <tableStyleInfo name="Charts-style 1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C4587"/>
      </a:dk1>
      <a:lt1>
        <a:srgbClr val="FFFFFF"/>
      </a:lt1>
      <a:dk2>
        <a:srgbClr val="1C4587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13" Type="http://schemas.openxmlformats.org/officeDocument/2006/relationships/table" Target="../tables/table1.xml"/><Relationship Id="rId23" Type="http://schemas.openxmlformats.org/officeDocument/2006/relationships/table" Target="../tables/table1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obg29R1t3FphlWjb8dwG4nkAWqyc_qMwkCjUT8SUno/pubhtml?gid=2009703435&amp;single=true&amp;chrome=false&amp;range=$B$122:$J$166" TargetMode="External"/><Relationship Id="rId2" Type="http://schemas.openxmlformats.org/officeDocument/2006/relationships/hyperlink" Target="https://teslamotorsclub.com/tmc/threads/tesla-europe-registration-stats.61651/" TargetMode="External"/><Relationship Id="rId3" Type="http://schemas.openxmlformats.org/officeDocument/2006/relationships/hyperlink" Target="http://cpcaauto.com/news.php?types=csjd&amp;anid=129&amp;nid=24" TargetMode="External"/><Relationship Id="rId4" Type="http://schemas.openxmlformats.org/officeDocument/2006/relationships/hyperlink" Target="https://open.canada.ca/data/en/dataset/42986a95-be23-436e-af15-7c6bf292a2e1/resource/167cec08-777a-4b29-a3a7-eda79f799bae" TargetMode="External"/><Relationship Id="rId5" Type="http://schemas.openxmlformats.org/officeDocument/2006/relationships/hyperlink" Target="https://x.com/TroyTeslike/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8" width="8.25"/>
    <col customWidth="1" min="9" max="9" width="5.13"/>
    <col customWidth="1" min="10" max="10" width="10.13"/>
    <col customWidth="1" min="11" max="35" width="9.13"/>
  </cols>
  <sheetData>
    <row r="1">
      <c r="A1" s="1"/>
      <c r="I1" s="1"/>
      <c r="J1" s="2"/>
      <c r="K1" s="3" t="str">
        <f>IFERROR(__xludf.DUMMYFUNCTION("transpose(split(K3,"",""))"),"Canada")</f>
        <v>Canada</v>
      </c>
      <c r="L1" s="3" t="str">
        <f>IFERROR(__xludf.DUMMYFUNCTION("transpose(split(L3,"",""))"),"Canada")</f>
        <v>Canada</v>
      </c>
      <c r="M1" s="3" t="str">
        <f>IFERROR(__xludf.DUMMYFUNCTION("transpose(split(M3,"",""))"),"Canada")</f>
        <v>Canada</v>
      </c>
      <c r="N1" s="3" t="str">
        <f>IFERROR(__xludf.DUMMYFUNCTION("transpose(split(N3,"",""))"),"Canada")</f>
        <v>Canada</v>
      </c>
      <c r="O1" s="3" t="str">
        <f>IFERROR(__xludf.DUMMYFUNCTION("transpose(split(O3,"",""))"),"China")</f>
        <v>China</v>
      </c>
      <c r="P1" s="3" t="str">
        <f>IFERROR(__xludf.DUMMYFUNCTION("transpose(split(P3,"",""))"),"China")</f>
        <v>China</v>
      </c>
      <c r="Q1" s="3" t="str">
        <f>IFERROR(__xludf.DUMMYFUNCTION("transpose(split(Q3,"",""))"),"China")</f>
        <v>China</v>
      </c>
      <c r="R1" s="3" t="str">
        <f>IFERROR(__xludf.DUMMYFUNCTION("transpose(split(R3,"",""))"),"Europe")</f>
        <v>Europe</v>
      </c>
      <c r="S1" s="3" t="str">
        <f>IFERROR(__xludf.DUMMYFUNCTION("transpose(split(S3,"",""))"),"Europe")</f>
        <v>Europe</v>
      </c>
      <c r="T1" s="3" t="str">
        <f>IFERROR(__xludf.DUMMYFUNCTION("transpose(split(T3,"",""))"),"Europe")</f>
        <v>Europe</v>
      </c>
      <c r="U1" s="3" t="str">
        <f>IFERROR(__xludf.DUMMYFUNCTION("transpose(split(U3,"",""))"),"ROW")</f>
        <v>ROW</v>
      </c>
      <c r="V1" s="3" t="str">
        <f>IFERROR(__xludf.DUMMYFUNCTION("transpose(split(V3,"",""))"),"ROW")</f>
        <v>ROW</v>
      </c>
      <c r="W1" s="3" t="str">
        <f>IFERROR(__xludf.DUMMYFUNCTION("transpose(split(W3,"",""))"),"ROW")</f>
        <v>ROW</v>
      </c>
      <c r="X1" s="3" t="str">
        <f>IFERROR(__xludf.DUMMYFUNCTION("transpose(split(X3,"",""))"),"ROW")</f>
        <v>ROW</v>
      </c>
      <c r="Y1" s="3" t="str">
        <f>IFERROR(__xludf.DUMMYFUNCTION("transpose(split(Y3,"",""))"),"USA")</f>
        <v>USA</v>
      </c>
      <c r="Z1" s="3" t="str">
        <f>IFERROR(__xludf.DUMMYFUNCTION("transpose(split(Z3,"",""))"),"USA")</f>
        <v>USA</v>
      </c>
      <c r="AA1" s="3" t="str">
        <f>IFERROR(__xludf.DUMMYFUNCTION("transpose(split(AA3,"",""))"),"USA")</f>
        <v>USA</v>
      </c>
      <c r="AB1" s="3" t="str">
        <f>IFERROR(__xludf.DUMMYFUNCTION("transpose(split(AB3,"",""))"),"USA")</f>
        <v>USA</v>
      </c>
      <c r="AC1" s="3" t="str">
        <f>IFERROR(__xludf.DUMMYFUNCTION("transpose(split(AC3,"",""))"),"Total")</f>
        <v>Total</v>
      </c>
      <c r="AD1" s="4"/>
      <c r="AE1" s="4"/>
      <c r="AF1" s="4"/>
      <c r="AG1" s="4"/>
      <c r="AH1" s="4"/>
      <c r="AI1" s="4"/>
    </row>
    <row r="2">
      <c r="A2" s="5"/>
      <c r="B2" s="2" t="s">
        <v>0</v>
      </c>
      <c r="C2" s="3" t="str">
        <f>IFERROR(__xludf.DUMMYFUNCTION("transpose(split(C3,"",""))"),"Canada")</f>
        <v>Canada</v>
      </c>
      <c r="D2" s="3" t="str">
        <f>IFERROR(__xludf.DUMMYFUNCTION("transpose(split(D3,"",""))"),"China")</f>
        <v>China</v>
      </c>
      <c r="E2" s="3" t="str">
        <f>IFERROR(__xludf.DUMMYFUNCTION("transpose(split(E3,"",""))"),"Europe")</f>
        <v>Europe</v>
      </c>
      <c r="F2" s="3" t="str">
        <f>IFERROR(__xludf.DUMMYFUNCTION("transpose(split(F3,"",""))"),"ROW")</f>
        <v>ROW</v>
      </c>
      <c r="G2" s="3" t="str">
        <f>IFERROR(__xludf.DUMMYFUNCTION("transpose(split(G3,"",""))"),"USA")</f>
        <v>USA</v>
      </c>
      <c r="H2" s="6" t="s">
        <v>1</v>
      </c>
      <c r="I2" s="5"/>
      <c r="J2" s="7" t="s">
        <v>0</v>
      </c>
      <c r="K2" s="8" t="str">
        <f>IFERROR(__xludf.DUMMYFUNCTION("""COMPUTED_VALUE"""),"Cybertruck")</f>
        <v>Cybertruck</v>
      </c>
      <c r="L2" s="8" t="str">
        <f>IFERROR(__xludf.DUMMYFUNCTION("""COMPUTED_VALUE"""),"Model 3")</f>
        <v>Model 3</v>
      </c>
      <c r="M2" s="8" t="str">
        <f>IFERROR(__xludf.DUMMYFUNCTION("""COMPUTED_VALUE"""),"Model S/X")</f>
        <v>Model S/X</v>
      </c>
      <c r="N2" s="8" t="str">
        <f>IFERROR(__xludf.DUMMYFUNCTION("""COMPUTED_VALUE"""),"Model Y")</f>
        <v>Model Y</v>
      </c>
      <c r="O2" s="8" t="str">
        <f>IFERROR(__xludf.DUMMYFUNCTION("""COMPUTED_VALUE"""),"Model 3")</f>
        <v>Model 3</v>
      </c>
      <c r="P2" s="8" t="str">
        <f>IFERROR(__xludf.DUMMYFUNCTION("""COMPUTED_VALUE"""),"Model S/X")</f>
        <v>Model S/X</v>
      </c>
      <c r="Q2" s="8" t="str">
        <f>IFERROR(__xludf.DUMMYFUNCTION("""COMPUTED_VALUE"""),"Model Y")</f>
        <v>Model Y</v>
      </c>
      <c r="R2" s="8" t="str">
        <f>IFERROR(__xludf.DUMMYFUNCTION("""COMPUTED_VALUE"""),"Model 3")</f>
        <v>Model 3</v>
      </c>
      <c r="S2" s="8" t="str">
        <f>IFERROR(__xludf.DUMMYFUNCTION("""COMPUTED_VALUE"""),"Model S/X")</f>
        <v>Model S/X</v>
      </c>
      <c r="T2" s="8" t="str">
        <f>IFERROR(__xludf.DUMMYFUNCTION("""COMPUTED_VALUE"""),"Model Y")</f>
        <v>Model Y</v>
      </c>
      <c r="U2" s="8" t="str">
        <f>IFERROR(__xludf.DUMMYFUNCTION("""COMPUTED_VALUE"""),"Cybertruck")</f>
        <v>Cybertruck</v>
      </c>
      <c r="V2" s="8" t="str">
        <f>IFERROR(__xludf.DUMMYFUNCTION("""COMPUTED_VALUE"""),"Model 3")</f>
        <v>Model 3</v>
      </c>
      <c r="W2" s="8" t="str">
        <f>IFERROR(__xludf.DUMMYFUNCTION("""COMPUTED_VALUE"""),"Model S/X")</f>
        <v>Model S/X</v>
      </c>
      <c r="X2" s="8" t="str">
        <f>IFERROR(__xludf.DUMMYFUNCTION("""COMPUTED_VALUE"""),"Model Y")</f>
        <v>Model Y</v>
      </c>
      <c r="Y2" s="8" t="str">
        <f>IFERROR(__xludf.DUMMYFUNCTION("""COMPUTED_VALUE"""),"Cybertruck")</f>
        <v>Cybertruck</v>
      </c>
      <c r="Z2" s="8" t="str">
        <f>IFERROR(__xludf.DUMMYFUNCTION("""COMPUTED_VALUE"""),"Model 3")</f>
        <v>Model 3</v>
      </c>
      <c r="AA2" s="8" t="str">
        <f>IFERROR(__xludf.DUMMYFUNCTION("""COMPUTED_VALUE"""),"Model S/X")</f>
        <v>Model S/X</v>
      </c>
      <c r="AB2" s="8" t="str">
        <f>IFERROR(__xludf.DUMMYFUNCTION("""COMPUTED_VALUE"""),"Model Y")</f>
        <v>Model Y</v>
      </c>
      <c r="AC2" s="9" t="s">
        <v>2</v>
      </c>
      <c r="AD2" s="10"/>
      <c r="AE2" s="10"/>
      <c r="AF2" s="10"/>
      <c r="AG2" s="10"/>
      <c r="AH2" s="10"/>
      <c r="AI2" s="10"/>
    </row>
    <row r="3" hidden="1">
      <c r="A3" s="11"/>
      <c r="B3" s="12" t="str">
        <f>IFERROR(__xludf.DUMMYFUNCTION("{query({Delivery_Data!$A:$I},""select Col1,sum(Col8) where Col1 is not null and Col8 is not null group by Col1 pivot Col6"",1);index(query({Delivery_Data!$A:$I},""select 'Total',sum(Col8) where Col1 is not null and Col8 is not null pivot Col6"",1),2,0)}"),"Year")</f>
        <v>Year</v>
      </c>
      <c r="C3" s="13" t="str">
        <f>IFERROR(__xludf.DUMMYFUNCTION("""COMPUTED_VALUE"""),"Canada")</f>
        <v>Canada</v>
      </c>
      <c r="D3" s="13" t="str">
        <f>IFERROR(__xludf.DUMMYFUNCTION("""COMPUTED_VALUE"""),"China")</f>
        <v>China</v>
      </c>
      <c r="E3" s="13" t="str">
        <f>IFERROR(__xludf.DUMMYFUNCTION("""COMPUTED_VALUE"""),"Europe")</f>
        <v>Europe</v>
      </c>
      <c r="F3" s="13" t="str">
        <f>IFERROR(__xludf.DUMMYFUNCTION("""COMPUTED_VALUE"""),"ROW")</f>
        <v>ROW</v>
      </c>
      <c r="G3" s="13" t="str">
        <f>IFERROR(__xludf.DUMMYFUNCTION("""COMPUTED_VALUE"""),"USA")</f>
        <v>USA</v>
      </c>
      <c r="H3" s="13" t="str">
        <f t="array" ref="H3:H18">{"Total";if($B4:$B18="",,mmult(n($C$4:$G$18),transpose(sign(column($C$4:$G$18)))))}</f>
        <v>Total</v>
      </c>
      <c r="I3" s="11"/>
      <c r="J3" s="12" t="str">
        <f>IFERROR(__xludf.DUMMYFUNCTION("{query({Delivery_Data!$A:$I},""select Col1,sum(Col8) where Col1 is not null and Col8 is not null group by Col1 pivot Col6,Col4"",1);index(query({Delivery_Data!$A:$I},""select 'Total',sum(Col8) where Col1 is not null and Col8 is not null pivot Col6,Col4"","&amp;"1),2,0)}"),"Year")</f>
        <v>Year</v>
      </c>
      <c r="K3" s="13" t="str">
        <f>IFERROR(__xludf.DUMMYFUNCTION("""COMPUTED_VALUE"""),"Canada,Cybertruck")</f>
        <v>Canada,Cybertruck</v>
      </c>
      <c r="L3" s="13" t="str">
        <f>IFERROR(__xludf.DUMMYFUNCTION("""COMPUTED_VALUE"""),"Canada,Model 3")</f>
        <v>Canada,Model 3</v>
      </c>
      <c r="M3" s="13" t="str">
        <f>IFERROR(__xludf.DUMMYFUNCTION("""COMPUTED_VALUE"""),"Canada,Model S/X")</f>
        <v>Canada,Model S/X</v>
      </c>
      <c r="N3" s="13" t="str">
        <f>IFERROR(__xludf.DUMMYFUNCTION("""COMPUTED_VALUE"""),"Canada,Model Y")</f>
        <v>Canada,Model Y</v>
      </c>
      <c r="O3" s="13" t="str">
        <f>IFERROR(__xludf.DUMMYFUNCTION("""COMPUTED_VALUE"""),"China,Model 3")</f>
        <v>China,Model 3</v>
      </c>
      <c r="P3" s="13" t="str">
        <f>IFERROR(__xludf.DUMMYFUNCTION("""COMPUTED_VALUE"""),"China,Model S/X")</f>
        <v>China,Model S/X</v>
      </c>
      <c r="Q3" s="13" t="str">
        <f>IFERROR(__xludf.DUMMYFUNCTION("""COMPUTED_VALUE"""),"China,Model Y")</f>
        <v>China,Model Y</v>
      </c>
      <c r="R3" s="13" t="str">
        <f>IFERROR(__xludf.DUMMYFUNCTION("""COMPUTED_VALUE"""),"Europe,Model 3")</f>
        <v>Europe,Model 3</v>
      </c>
      <c r="S3" s="13" t="str">
        <f>IFERROR(__xludf.DUMMYFUNCTION("""COMPUTED_VALUE"""),"Europe,Model S/X")</f>
        <v>Europe,Model S/X</v>
      </c>
      <c r="T3" s="13" t="str">
        <f>IFERROR(__xludf.DUMMYFUNCTION("""COMPUTED_VALUE"""),"Europe,Model Y")</f>
        <v>Europe,Model Y</v>
      </c>
      <c r="U3" s="13" t="str">
        <f>IFERROR(__xludf.DUMMYFUNCTION("""COMPUTED_VALUE"""),"ROW,Cybertruck")</f>
        <v>ROW,Cybertruck</v>
      </c>
      <c r="V3" s="13" t="str">
        <f>IFERROR(__xludf.DUMMYFUNCTION("""COMPUTED_VALUE"""),"ROW,Model 3")</f>
        <v>ROW,Model 3</v>
      </c>
      <c r="W3" s="13" t="str">
        <f>IFERROR(__xludf.DUMMYFUNCTION("""COMPUTED_VALUE"""),"ROW,Model S/X")</f>
        <v>ROW,Model S/X</v>
      </c>
      <c r="X3" s="13" t="str">
        <f>IFERROR(__xludf.DUMMYFUNCTION("""COMPUTED_VALUE"""),"ROW,Model Y")</f>
        <v>ROW,Model Y</v>
      </c>
      <c r="Y3" s="13" t="str">
        <f>IFERROR(__xludf.DUMMYFUNCTION("""COMPUTED_VALUE"""),"USA,Cybertruck")</f>
        <v>USA,Cybertruck</v>
      </c>
      <c r="Z3" s="13" t="str">
        <f>IFERROR(__xludf.DUMMYFUNCTION("""COMPUTED_VALUE"""),"USA,Model 3")</f>
        <v>USA,Model 3</v>
      </c>
      <c r="AA3" s="13" t="str">
        <f>IFERROR(__xludf.DUMMYFUNCTION("""COMPUTED_VALUE"""),"USA,Model S/X")</f>
        <v>USA,Model S/X</v>
      </c>
      <c r="AB3" s="13" t="str">
        <f>IFERROR(__xludf.DUMMYFUNCTION("""COMPUTED_VALUE"""),"USA,Model Y")</f>
        <v>USA,Model Y</v>
      </c>
      <c r="AC3" s="13" t="str">
        <f t="array" ref="AC3:AC18">{"Total";if($J4:$J18="",,mmult(n($K$4:$AB$18),transpose(sign(column($K$4:$AB$18)))))}</f>
        <v>Total</v>
      </c>
      <c r="AD3" s="4"/>
      <c r="AE3" s="4"/>
      <c r="AF3" s="4"/>
      <c r="AG3" s="4"/>
      <c r="AH3" s="4"/>
      <c r="AI3" s="4"/>
    </row>
    <row r="4">
      <c r="A4" s="14"/>
      <c r="B4" s="15">
        <f>IFERROR(__xludf.DUMMYFUNCTION("""COMPUTED_VALUE"""),2012.0)</f>
        <v>2012</v>
      </c>
      <c r="C4" s="16">
        <f>IFERROR(__xludf.DUMMYFUNCTION("""COMPUTED_VALUE"""),95.0)</f>
        <v>95</v>
      </c>
      <c r="D4" s="16"/>
      <c r="E4" s="16"/>
      <c r="F4" s="16"/>
      <c r="G4" s="16">
        <f>IFERROR(__xludf.DUMMYFUNCTION("""COMPUTED_VALUE"""),2555.0)</f>
        <v>2555</v>
      </c>
      <c r="H4" s="17">
        <v>2650.0</v>
      </c>
      <c r="I4" s="14"/>
      <c r="J4" s="15">
        <f>IFERROR(__xludf.DUMMYFUNCTION("""COMPUTED_VALUE"""),2012.0)</f>
        <v>2012</v>
      </c>
      <c r="K4" s="16"/>
      <c r="L4" s="16"/>
      <c r="M4" s="16">
        <f>IFERROR(__xludf.DUMMYFUNCTION("""COMPUTED_VALUE"""),95.0)</f>
        <v>95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>
        <f>IFERROR(__xludf.DUMMYFUNCTION("""COMPUTED_VALUE"""),2555.0)</f>
        <v>2555</v>
      </c>
      <c r="AB4" s="16"/>
      <c r="AC4" s="17">
        <v>2650.0</v>
      </c>
      <c r="AD4" s="10"/>
      <c r="AE4" s="10"/>
      <c r="AF4" s="10"/>
      <c r="AG4" s="10"/>
      <c r="AH4" s="10"/>
      <c r="AI4" s="10"/>
    </row>
    <row r="5">
      <c r="A5" s="14"/>
      <c r="B5" s="15">
        <f>IFERROR(__xludf.DUMMYFUNCTION("""COMPUTED_VALUE"""),2013.0)</f>
        <v>2013</v>
      </c>
      <c r="C5" s="16">
        <f>IFERROR(__xludf.DUMMYFUNCTION("""COMPUTED_VALUE"""),638.0)</f>
        <v>638</v>
      </c>
      <c r="D5" s="16"/>
      <c r="E5" s="16">
        <f>IFERROR(__xludf.DUMMYFUNCTION("""COMPUTED_VALUE"""),3893.0)</f>
        <v>3893</v>
      </c>
      <c r="F5" s="16"/>
      <c r="G5" s="16">
        <f>IFERROR(__xludf.DUMMYFUNCTION("""COMPUTED_VALUE"""),17946.0)</f>
        <v>17946</v>
      </c>
      <c r="H5" s="17">
        <v>22477.0</v>
      </c>
      <c r="I5" s="14"/>
      <c r="J5" s="15">
        <f>IFERROR(__xludf.DUMMYFUNCTION("""COMPUTED_VALUE"""),2013.0)</f>
        <v>2013</v>
      </c>
      <c r="K5" s="16"/>
      <c r="L5" s="16"/>
      <c r="M5" s="16">
        <f>IFERROR(__xludf.DUMMYFUNCTION("""COMPUTED_VALUE"""),638.0)</f>
        <v>638</v>
      </c>
      <c r="N5" s="16"/>
      <c r="O5" s="16"/>
      <c r="P5" s="16"/>
      <c r="Q5" s="16"/>
      <c r="R5" s="16"/>
      <c r="S5" s="16">
        <f>IFERROR(__xludf.DUMMYFUNCTION("""COMPUTED_VALUE"""),3893.0)</f>
        <v>3893</v>
      </c>
      <c r="T5" s="16"/>
      <c r="U5" s="16"/>
      <c r="V5" s="16"/>
      <c r="W5" s="16"/>
      <c r="X5" s="16"/>
      <c r="Y5" s="16"/>
      <c r="Z5" s="16"/>
      <c r="AA5" s="16">
        <f>IFERROR(__xludf.DUMMYFUNCTION("""COMPUTED_VALUE"""),17946.0)</f>
        <v>17946</v>
      </c>
      <c r="AB5" s="16"/>
      <c r="AC5" s="17">
        <v>22477.0</v>
      </c>
      <c r="AD5" s="10"/>
      <c r="AE5" s="10"/>
      <c r="AF5" s="10"/>
      <c r="AG5" s="10"/>
      <c r="AH5" s="18"/>
      <c r="AI5" s="10"/>
    </row>
    <row r="6">
      <c r="A6" s="14"/>
      <c r="B6" s="15">
        <f>IFERROR(__xludf.DUMMYFUNCTION("""COMPUTED_VALUE"""),2014.0)</f>
        <v>2014</v>
      </c>
      <c r="C6" s="16">
        <f>IFERROR(__xludf.DUMMYFUNCTION("""COMPUTED_VALUE"""),784.0)</f>
        <v>784</v>
      </c>
      <c r="D6" s="16">
        <f>IFERROR(__xludf.DUMMYFUNCTION("""COMPUTED_VALUE"""),4122.0)</f>
        <v>4122</v>
      </c>
      <c r="E6" s="16">
        <f>IFERROR(__xludf.DUMMYFUNCTION("""COMPUTED_VALUE"""),9521.0)</f>
        <v>9521</v>
      </c>
      <c r="F6" s="16">
        <f>IFERROR(__xludf.DUMMYFUNCTION("""COMPUTED_VALUE"""),539.0)</f>
        <v>539</v>
      </c>
      <c r="G6" s="16">
        <f>IFERROR(__xludf.DUMMYFUNCTION("""COMPUTED_VALUE"""),16689.0)</f>
        <v>16689</v>
      </c>
      <c r="H6" s="17">
        <v>31655.0</v>
      </c>
      <c r="I6" s="14"/>
      <c r="J6" s="15">
        <f>IFERROR(__xludf.DUMMYFUNCTION("""COMPUTED_VALUE"""),2014.0)</f>
        <v>2014</v>
      </c>
      <c r="K6" s="16"/>
      <c r="L6" s="16"/>
      <c r="M6" s="16">
        <f>IFERROR(__xludf.DUMMYFUNCTION("""COMPUTED_VALUE"""),784.0)</f>
        <v>784</v>
      </c>
      <c r="N6" s="16"/>
      <c r="O6" s="16"/>
      <c r="P6" s="16">
        <f>IFERROR(__xludf.DUMMYFUNCTION("""COMPUTED_VALUE"""),4122.0)</f>
        <v>4122</v>
      </c>
      <c r="Q6" s="16"/>
      <c r="R6" s="16"/>
      <c r="S6" s="16">
        <f>IFERROR(__xludf.DUMMYFUNCTION("""COMPUTED_VALUE"""),9521.0)</f>
        <v>9521</v>
      </c>
      <c r="T6" s="16"/>
      <c r="U6" s="16"/>
      <c r="V6" s="16"/>
      <c r="W6" s="16">
        <f>IFERROR(__xludf.DUMMYFUNCTION("""COMPUTED_VALUE"""),539.0)</f>
        <v>539</v>
      </c>
      <c r="X6" s="16"/>
      <c r="Y6" s="16"/>
      <c r="Z6" s="16"/>
      <c r="AA6" s="16">
        <f>IFERROR(__xludf.DUMMYFUNCTION("""COMPUTED_VALUE"""),16689.0)</f>
        <v>16689</v>
      </c>
      <c r="AB6" s="16"/>
      <c r="AC6" s="17">
        <v>31655.0</v>
      </c>
      <c r="AD6" s="10"/>
      <c r="AE6" s="10"/>
      <c r="AF6" s="10"/>
      <c r="AG6" s="10"/>
      <c r="AH6" s="18"/>
      <c r="AI6" s="10"/>
    </row>
    <row r="7">
      <c r="A7" s="14"/>
      <c r="B7" s="15">
        <f>IFERROR(__xludf.DUMMYFUNCTION("""COMPUTED_VALUE"""),2015.0)</f>
        <v>2015</v>
      </c>
      <c r="C7" s="16">
        <f>IFERROR(__xludf.DUMMYFUNCTION("""COMPUTED_VALUE"""),1600.0)</f>
        <v>1600</v>
      </c>
      <c r="D7" s="16">
        <f>IFERROR(__xludf.DUMMYFUNCTION("""COMPUTED_VALUE"""),3692.0)</f>
        <v>3692</v>
      </c>
      <c r="E7" s="16">
        <f>IFERROR(__xludf.DUMMYFUNCTION("""COMPUTED_VALUE"""),16701.0)</f>
        <v>16701</v>
      </c>
      <c r="F7" s="16">
        <f>IFERROR(__xludf.DUMMYFUNCTION("""COMPUTED_VALUE"""),3463.0)</f>
        <v>3463</v>
      </c>
      <c r="G7" s="16">
        <f>IFERROR(__xludf.DUMMYFUNCTION("""COMPUTED_VALUE"""),25202.0)</f>
        <v>25202</v>
      </c>
      <c r="H7" s="17">
        <v>50658.0</v>
      </c>
      <c r="I7" s="14"/>
      <c r="J7" s="15">
        <f>IFERROR(__xludf.DUMMYFUNCTION("""COMPUTED_VALUE"""),2015.0)</f>
        <v>2015</v>
      </c>
      <c r="K7" s="16"/>
      <c r="L7" s="16"/>
      <c r="M7" s="16">
        <f>IFERROR(__xludf.DUMMYFUNCTION("""COMPUTED_VALUE"""),1600.0)</f>
        <v>1600</v>
      </c>
      <c r="N7" s="16"/>
      <c r="O7" s="16"/>
      <c r="P7" s="16">
        <f>IFERROR(__xludf.DUMMYFUNCTION("""COMPUTED_VALUE"""),3692.0)</f>
        <v>3692</v>
      </c>
      <c r="Q7" s="16"/>
      <c r="R7" s="16"/>
      <c r="S7" s="16">
        <f>IFERROR(__xludf.DUMMYFUNCTION("""COMPUTED_VALUE"""),16701.0)</f>
        <v>16701</v>
      </c>
      <c r="T7" s="16"/>
      <c r="U7" s="16"/>
      <c r="V7" s="16"/>
      <c r="W7" s="16">
        <f>IFERROR(__xludf.DUMMYFUNCTION("""COMPUTED_VALUE"""),3463.0)</f>
        <v>3463</v>
      </c>
      <c r="X7" s="16"/>
      <c r="Y7" s="16"/>
      <c r="Z7" s="16"/>
      <c r="AA7" s="16">
        <f>IFERROR(__xludf.DUMMYFUNCTION("""COMPUTED_VALUE"""),25202.0)</f>
        <v>25202</v>
      </c>
      <c r="AB7" s="16"/>
      <c r="AC7" s="17">
        <v>50658.0</v>
      </c>
      <c r="AD7" s="10"/>
      <c r="AE7" s="10"/>
      <c r="AF7" s="10"/>
      <c r="AG7" s="10"/>
      <c r="AH7" s="18"/>
      <c r="AI7" s="10"/>
    </row>
    <row r="8">
      <c r="A8" s="14"/>
      <c r="B8" s="15">
        <f>IFERROR(__xludf.DUMMYFUNCTION("""COMPUTED_VALUE"""),2016.0)</f>
        <v>2016</v>
      </c>
      <c r="C8" s="16">
        <f>IFERROR(__xludf.DUMMYFUNCTION("""COMPUTED_VALUE"""),2283.0)</f>
        <v>2283</v>
      </c>
      <c r="D8" s="16">
        <f>IFERROR(__xludf.DUMMYFUNCTION("""COMPUTED_VALUE"""),8377.0)</f>
        <v>8377</v>
      </c>
      <c r="E8" s="16">
        <f>IFERROR(__xludf.DUMMYFUNCTION("""COMPUTED_VALUE"""),16230.0)</f>
        <v>16230</v>
      </c>
      <c r="F8" s="16">
        <f>IFERROR(__xludf.DUMMYFUNCTION("""COMPUTED_VALUE"""),3660.0)</f>
        <v>3660</v>
      </c>
      <c r="G8" s="16">
        <f>IFERROR(__xludf.DUMMYFUNCTION("""COMPUTED_VALUE"""),45735.0)</f>
        <v>45735</v>
      </c>
      <c r="H8" s="17">
        <v>76285.0</v>
      </c>
      <c r="I8" s="14"/>
      <c r="J8" s="15">
        <f>IFERROR(__xludf.DUMMYFUNCTION("""COMPUTED_VALUE"""),2016.0)</f>
        <v>2016</v>
      </c>
      <c r="K8" s="16"/>
      <c r="L8" s="16"/>
      <c r="M8" s="16">
        <f>IFERROR(__xludf.DUMMYFUNCTION("""COMPUTED_VALUE"""),2283.0)</f>
        <v>2283</v>
      </c>
      <c r="N8" s="16"/>
      <c r="O8" s="16"/>
      <c r="P8" s="16">
        <f>IFERROR(__xludf.DUMMYFUNCTION("""COMPUTED_VALUE"""),8377.0)</f>
        <v>8377</v>
      </c>
      <c r="Q8" s="16"/>
      <c r="R8" s="16"/>
      <c r="S8" s="16">
        <f>IFERROR(__xludf.DUMMYFUNCTION("""COMPUTED_VALUE"""),16230.0)</f>
        <v>16230</v>
      </c>
      <c r="T8" s="16"/>
      <c r="U8" s="16"/>
      <c r="V8" s="16"/>
      <c r="W8" s="16">
        <f>IFERROR(__xludf.DUMMYFUNCTION("""COMPUTED_VALUE"""),3660.0)</f>
        <v>3660</v>
      </c>
      <c r="X8" s="16"/>
      <c r="Y8" s="16"/>
      <c r="Z8" s="16"/>
      <c r="AA8" s="16">
        <f>IFERROR(__xludf.DUMMYFUNCTION("""COMPUTED_VALUE"""),45735.0)</f>
        <v>45735</v>
      </c>
      <c r="AB8" s="16"/>
      <c r="AC8" s="17">
        <v>76285.0</v>
      </c>
      <c r="AD8" s="10"/>
      <c r="AE8" s="10"/>
      <c r="AF8" s="10"/>
      <c r="AG8" s="10"/>
      <c r="AH8" s="18"/>
      <c r="AI8" s="10"/>
    </row>
    <row r="9">
      <c r="A9" s="14"/>
      <c r="B9" s="15">
        <f>IFERROR(__xludf.DUMMYFUNCTION("""COMPUTED_VALUE"""),2017.0)</f>
        <v>2017</v>
      </c>
      <c r="C9" s="16">
        <f>IFERROR(__xludf.DUMMYFUNCTION("""COMPUTED_VALUE"""),2361.0)</f>
        <v>2361</v>
      </c>
      <c r="D9" s="16">
        <f>IFERROR(__xludf.DUMMYFUNCTION("""COMPUTED_VALUE"""),14829.0)</f>
        <v>14829</v>
      </c>
      <c r="E9" s="16">
        <f>IFERROR(__xludf.DUMMYFUNCTION("""COMPUTED_VALUE"""),28279.0)</f>
        <v>28279</v>
      </c>
      <c r="F9" s="16">
        <f>IFERROR(__xludf.DUMMYFUNCTION("""COMPUTED_VALUE"""),7323.0)</f>
        <v>7323</v>
      </c>
      <c r="G9" s="16">
        <f>IFERROR(__xludf.DUMMYFUNCTION("""COMPUTED_VALUE"""),50389.0)</f>
        <v>50389</v>
      </c>
      <c r="H9" s="17">
        <v>103181.0</v>
      </c>
      <c r="I9" s="14"/>
      <c r="J9" s="15">
        <f>IFERROR(__xludf.DUMMYFUNCTION("""COMPUTED_VALUE"""),2017.0)</f>
        <v>2017</v>
      </c>
      <c r="K9" s="16"/>
      <c r="L9" s="16"/>
      <c r="M9" s="16">
        <f>IFERROR(__xludf.DUMMYFUNCTION("""COMPUTED_VALUE"""),2361.0)</f>
        <v>2361</v>
      </c>
      <c r="N9" s="16"/>
      <c r="O9" s="16"/>
      <c r="P9" s="16">
        <f>IFERROR(__xludf.DUMMYFUNCTION("""COMPUTED_VALUE"""),14829.0)</f>
        <v>14829</v>
      </c>
      <c r="Q9" s="16"/>
      <c r="R9" s="16"/>
      <c r="S9" s="16">
        <f>IFERROR(__xludf.DUMMYFUNCTION("""COMPUTED_VALUE"""),28279.0)</f>
        <v>28279</v>
      </c>
      <c r="T9" s="16"/>
      <c r="U9" s="16"/>
      <c r="V9" s="16"/>
      <c r="W9" s="16">
        <f>IFERROR(__xludf.DUMMYFUNCTION("""COMPUTED_VALUE"""),7323.0)</f>
        <v>7323</v>
      </c>
      <c r="X9" s="16"/>
      <c r="Y9" s="16"/>
      <c r="Z9" s="16">
        <f>IFERROR(__xludf.DUMMYFUNCTION("""COMPUTED_VALUE"""),1764.0)</f>
        <v>1764</v>
      </c>
      <c r="AA9" s="16">
        <f>IFERROR(__xludf.DUMMYFUNCTION("""COMPUTED_VALUE"""),48625.0)</f>
        <v>48625</v>
      </c>
      <c r="AB9" s="16"/>
      <c r="AC9" s="17">
        <v>103181.0</v>
      </c>
      <c r="AD9" s="10"/>
      <c r="AE9" s="10"/>
      <c r="AF9" s="10"/>
      <c r="AG9" s="10"/>
      <c r="AH9" s="18"/>
      <c r="AI9" s="10"/>
    </row>
    <row r="10">
      <c r="A10" s="14"/>
      <c r="B10" s="15">
        <f>IFERROR(__xludf.DUMMYFUNCTION("""COMPUTED_VALUE"""),2018.0)</f>
        <v>2018</v>
      </c>
      <c r="C10" s="16">
        <f>IFERROR(__xludf.DUMMYFUNCTION("""COMPUTED_VALUE"""),7200.0)</f>
        <v>7200</v>
      </c>
      <c r="D10" s="16">
        <f>IFERROR(__xludf.DUMMYFUNCTION("""COMPUTED_VALUE"""),15029.0)</f>
        <v>15029</v>
      </c>
      <c r="E10" s="16">
        <f>IFERROR(__xludf.DUMMYFUNCTION("""COMPUTED_VALUE"""),29257.0)</f>
        <v>29257</v>
      </c>
      <c r="F10" s="16">
        <f>IFERROR(__xludf.DUMMYFUNCTION("""COMPUTED_VALUE"""),3379.0)</f>
        <v>3379</v>
      </c>
      <c r="G10" s="16">
        <f>IFERROR(__xludf.DUMMYFUNCTION("""COMPUTED_VALUE"""),190641.0)</f>
        <v>190641</v>
      </c>
      <c r="H10" s="17">
        <v>245506.0</v>
      </c>
      <c r="I10" s="14"/>
      <c r="J10" s="15">
        <f>IFERROR(__xludf.DUMMYFUNCTION("""COMPUTED_VALUE"""),2018.0)</f>
        <v>2018</v>
      </c>
      <c r="K10" s="16"/>
      <c r="L10" s="16">
        <f>IFERROR(__xludf.DUMMYFUNCTION("""COMPUTED_VALUE"""),4796.0)</f>
        <v>4796</v>
      </c>
      <c r="M10" s="16">
        <f>IFERROR(__xludf.DUMMYFUNCTION("""COMPUTED_VALUE"""),2404.0)</f>
        <v>2404</v>
      </c>
      <c r="N10" s="16"/>
      <c r="O10" s="16"/>
      <c r="P10" s="16">
        <f>IFERROR(__xludf.DUMMYFUNCTION("""COMPUTED_VALUE"""),15029.0)</f>
        <v>15029</v>
      </c>
      <c r="Q10" s="16"/>
      <c r="R10" s="16"/>
      <c r="S10" s="16">
        <f>IFERROR(__xludf.DUMMYFUNCTION("""COMPUTED_VALUE"""),29257.0)</f>
        <v>29257</v>
      </c>
      <c r="T10" s="16"/>
      <c r="U10" s="16"/>
      <c r="V10" s="16"/>
      <c r="W10" s="16">
        <f>IFERROR(__xludf.DUMMYFUNCTION("""COMPUTED_VALUE"""),3379.0)</f>
        <v>3379</v>
      </c>
      <c r="X10" s="16"/>
      <c r="Y10" s="16"/>
      <c r="Z10" s="16">
        <f>IFERROR(__xludf.DUMMYFUNCTION("""COMPUTED_VALUE"""),141259.0)</f>
        <v>141259</v>
      </c>
      <c r="AA10" s="16">
        <f>IFERROR(__xludf.DUMMYFUNCTION("""COMPUTED_VALUE"""),49382.0)</f>
        <v>49382</v>
      </c>
      <c r="AB10" s="16"/>
      <c r="AC10" s="17">
        <v>245506.0</v>
      </c>
      <c r="AD10" s="10"/>
      <c r="AE10" s="10"/>
      <c r="AF10" s="10"/>
      <c r="AG10" s="10"/>
      <c r="AH10" s="18"/>
      <c r="AI10" s="10"/>
    </row>
    <row r="11">
      <c r="A11" s="14"/>
      <c r="B11" s="15">
        <f>IFERROR(__xludf.DUMMYFUNCTION("""COMPUTED_VALUE"""),2019.0)</f>
        <v>2019</v>
      </c>
      <c r="C11" s="16">
        <f>IFERROR(__xludf.DUMMYFUNCTION("""COMPUTED_VALUE"""),15789.0)</f>
        <v>15789</v>
      </c>
      <c r="D11" s="16">
        <f>IFERROR(__xludf.DUMMYFUNCTION("""COMPUTED_VALUE"""),41298.0)</f>
        <v>41298</v>
      </c>
      <c r="E11" s="16">
        <f>IFERROR(__xludf.DUMMYFUNCTION("""COMPUTED_VALUE"""),111119.0)</f>
        <v>111119</v>
      </c>
      <c r="F11" s="16">
        <f>IFERROR(__xludf.DUMMYFUNCTION("""COMPUTED_VALUE"""),11960.0)</f>
        <v>11960</v>
      </c>
      <c r="G11" s="16">
        <f>IFERROR(__xludf.DUMMYFUNCTION("""COMPUTED_VALUE"""),187490.0)</f>
        <v>187490</v>
      </c>
      <c r="H11" s="17">
        <v>367656.0</v>
      </c>
      <c r="I11" s="14"/>
      <c r="J11" s="15">
        <f>IFERROR(__xludf.DUMMYFUNCTION("""COMPUTED_VALUE"""),2019.0)</f>
        <v>2019</v>
      </c>
      <c r="K11" s="16"/>
      <c r="L11" s="16">
        <f>IFERROR(__xludf.DUMMYFUNCTION("""COMPUTED_VALUE"""),14112.0)</f>
        <v>14112</v>
      </c>
      <c r="M11" s="16">
        <f>IFERROR(__xludf.DUMMYFUNCTION("""COMPUTED_VALUE"""),1677.0)</f>
        <v>1677</v>
      </c>
      <c r="N11" s="16"/>
      <c r="O11" s="16">
        <f>IFERROR(__xludf.DUMMYFUNCTION("""COMPUTED_VALUE"""),29274.0)</f>
        <v>29274</v>
      </c>
      <c r="P11" s="16">
        <f>IFERROR(__xludf.DUMMYFUNCTION("""COMPUTED_VALUE"""),12024.0)</f>
        <v>12024</v>
      </c>
      <c r="Q11" s="16"/>
      <c r="R11" s="16">
        <f>IFERROR(__xludf.DUMMYFUNCTION("""COMPUTED_VALUE"""),95884.0)</f>
        <v>95884</v>
      </c>
      <c r="S11" s="16">
        <f>IFERROR(__xludf.DUMMYFUNCTION("""COMPUTED_VALUE"""),15235.0)</f>
        <v>15235</v>
      </c>
      <c r="T11" s="16"/>
      <c r="U11" s="16"/>
      <c r="V11" s="16">
        <f>IFERROR(__xludf.DUMMYFUNCTION("""COMPUTED_VALUE"""),8458.0)</f>
        <v>8458</v>
      </c>
      <c r="W11" s="16">
        <f>IFERROR(__xludf.DUMMYFUNCTION("""COMPUTED_VALUE"""),3502.0)</f>
        <v>3502</v>
      </c>
      <c r="X11" s="16"/>
      <c r="Y11" s="16"/>
      <c r="Z11" s="16">
        <f>IFERROR(__xludf.DUMMYFUNCTION("""COMPUTED_VALUE"""),153157.0)</f>
        <v>153157</v>
      </c>
      <c r="AA11" s="16">
        <f>IFERROR(__xludf.DUMMYFUNCTION("""COMPUTED_VALUE"""),34333.0)</f>
        <v>34333</v>
      </c>
      <c r="AB11" s="16"/>
      <c r="AC11" s="17">
        <v>367656.0</v>
      </c>
      <c r="AD11" s="10"/>
      <c r="AE11" s="10"/>
      <c r="AF11" s="10"/>
      <c r="AG11" s="10"/>
      <c r="AH11" s="18"/>
      <c r="AI11" s="10"/>
    </row>
    <row r="12">
      <c r="A12" s="14"/>
      <c r="B12" s="15">
        <f>IFERROR(__xludf.DUMMYFUNCTION("""COMPUTED_VALUE"""),2020.0)</f>
        <v>2020</v>
      </c>
      <c r="C12" s="16">
        <f>IFERROR(__xludf.DUMMYFUNCTION("""COMPUTED_VALUE"""),18402.0)</f>
        <v>18402</v>
      </c>
      <c r="D12" s="16">
        <f>IFERROR(__xludf.DUMMYFUNCTION("""COMPUTED_VALUE"""),146470.0)</f>
        <v>146470</v>
      </c>
      <c r="E12" s="16">
        <f>IFERROR(__xludf.DUMMYFUNCTION("""COMPUTED_VALUE"""),99186.0)</f>
        <v>99186</v>
      </c>
      <c r="F12" s="16">
        <f>IFERROR(__xludf.DUMMYFUNCTION("""COMPUTED_VALUE"""),27189.0)</f>
        <v>27189</v>
      </c>
      <c r="G12" s="16">
        <f>IFERROR(__xludf.DUMMYFUNCTION("""COMPUTED_VALUE"""),208400.0)</f>
        <v>208400</v>
      </c>
      <c r="H12" s="17">
        <v>499647.0</v>
      </c>
      <c r="I12" s="14"/>
      <c r="J12" s="15">
        <f>IFERROR(__xludf.DUMMYFUNCTION("""COMPUTED_VALUE"""),2020.0)</f>
        <v>2020</v>
      </c>
      <c r="K12" s="16"/>
      <c r="L12" s="16">
        <f>IFERROR(__xludf.DUMMYFUNCTION("""COMPUTED_VALUE"""),14094.0)</f>
        <v>14094</v>
      </c>
      <c r="M12" s="16">
        <f>IFERROR(__xludf.DUMMYFUNCTION("""COMPUTED_VALUE"""),1710.0)</f>
        <v>1710</v>
      </c>
      <c r="N12" s="16">
        <f>IFERROR(__xludf.DUMMYFUNCTION("""COMPUTED_VALUE"""),2598.0)</f>
        <v>2598</v>
      </c>
      <c r="O12" s="16">
        <f>IFERROR(__xludf.DUMMYFUNCTION("""COMPUTED_VALUE"""),139937.0)</f>
        <v>139937</v>
      </c>
      <c r="P12" s="16">
        <f>IFERROR(__xludf.DUMMYFUNCTION("""COMPUTED_VALUE"""),6533.0)</f>
        <v>6533</v>
      </c>
      <c r="Q12" s="16"/>
      <c r="R12" s="16">
        <f>IFERROR(__xludf.DUMMYFUNCTION("""COMPUTED_VALUE"""),87976.0)</f>
        <v>87976</v>
      </c>
      <c r="S12" s="16">
        <f>IFERROR(__xludf.DUMMYFUNCTION("""COMPUTED_VALUE"""),11210.0)</f>
        <v>11210</v>
      </c>
      <c r="T12" s="16"/>
      <c r="U12" s="16"/>
      <c r="V12" s="16">
        <f>IFERROR(__xludf.DUMMYFUNCTION("""COMPUTED_VALUE"""),24475.0)</f>
        <v>24475</v>
      </c>
      <c r="W12" s="16">
        <f>IFERROR(__xludf.DUMMYFUNCTION("""COMPUTED_VALUE"""),2714.0)</f>
        <v>2714</v>
      </c>
      <c r="X12" s="16"/>
      <c r="Y12" s="16"/>
      <c r="Z12" s="16">
        <f>IFERROR(__xludf.DUMMYFUNCTION("""COMPUTED_VALUE"""),89768.0)</f>
        <v>89768</v>
      </c>
      <c r="AA12" s="16">
        <f>IFERROR(__xludf.DUMMYFUNCTION("""COMPUTED_VALUE"""),34918.0)</f>
        <v>34918</v>
      </c>
      <c r="AB12" s="16">
        <f>IFERROR(__xludf.DUMMYFUNCTION("""COMPUTED_VALUE"""),83714.0)</f>
        <v>83714</v>
      </c>
      <c r="AC12" s="17">
        <v>499647.0</v>
      </c>
      <c r="AD12" s="10"/>
      <c r="AE12" s="10"/>
      <c r="AF12" s="10"/>
      <c r="AG12" s="10"/>
      <c r="AH12" s="18"/>
      <c r="AI12" s="10"/>
    </row>
    <row r="13">
      <c r="A13" s="14"/>
      <c r="B13" s="15">
        <f>IFERROR(__xludf.DUMMYFUNCTION("""COMPUTED_VALUE"""),2021.0)</f>
        <v>2021</v>
      </c>
      <c r="C13" s="16">
        <f>IFERROR(__xludf.DUMMYFUNCTION("""COMPUTED_VALUE"""),26369.0)</f>
        <v>26369</v>
      </c>
      <c r="D13" s="16">
        <f>IFERROR(__xludf.DUMMYFUNCTION("""COMPUTED_VALUE"""),321270.0)</f>
        <v>321270</v>
      </c>
      <c r="E13" s="16">
        <f>IFERROR(__xludf.DUMMYFUNCTION("""COMPUTED_VALUE"""),169351.0)</f>
        <v>169351</v>
      </c>
      <c r="F13" s="16">
        <f>IFERROR(__xludf.DUMMYFUNCTION("""COMPUTED_VALUE"""),59227.0)</f>
        <v>59227</v>
      </c>
      <c r="G13" s="16">
        <f>IFERROR(__xludf.DUMMYFUNCTION("""COMPUTED_VALUE"""),360005.0)</f>
        <v>360005</v>
      </c>
      <c r="H13" s="17">
        <v>936222.0</v>
      </c>
      <c r="I13" s="14"/>
      <c r="J13" s="15">
        <f>IFERROR(__xludf.DUMMYFUNCTION("""COMPUTED_VALUE"""),2021.0)</f>
        <v>2021</v>
      </c>
      <c r="K13" s="16"/>
      <c r="L13" s="16">
        <f>IFERROR(__xludf.DUMMYFUNCTION("""COMPUTED_VALUE"""),15602.0)</f>
        <v>15602</v>
      </c>
      <c r="M13" s="16">
        <f>IFERROR(__xludf.DUMMYFUNCTION("""COMPUTED_VALUE"""),643.0)</f>
        <v>643</v>
      </c>
      <c r="N13" s="16">
        <f>IFERROR(__xludf.DUMMYFUNCTION("""COMPUTED_VALUE"""),10124.0)</f>
        <v>10124</v>
      </c>
      <c r="O13" s="16">
        <f>IFERROR(__xludf.DUMMYFUNCTION("""COMPUTED_VALUE"""),150890.0)</f>
        <v>150890</v>
      </c>
      <c r="P13" s="16">
        <f>IFERROR(__xludf.DUMMYFUNCTION("""COMPUTED_VALUE"""),527.0)</f>
        <v>527</v>
      </c>
      <c r="Q13" s="16">
        <f>IFERROR(__xludf.DUMMYFUNCTION("""COMPUTED_VALUE"""),169853.0)</f>
        <v>169853</v>
      </c>
      <c r="R13" s="16">
        <f>IFERROR(__xludf.DUMMYFUNCTION("""COMPUTED_VALUE"""),143664.0)</f>
        <v>143664</v>
      </c>
      <c r="S13" s="16">
        <f>IFERROR(__xludf.DUMMYFUNCTION("""COMPUTED_VALUE"""),310.0)</f>
        <v>310</v>
      </c>
      <c r="T13" s="16">
        <f>IFERROR(__xludf.DUMMYFUNCTION("""COMPUTED_VALUE"""),25377.0)</f>
        <v>25377</v>
      </c>
      <c r="U13" s="16"/>
      <c r="V13" s="16">
        <f>IFERROR(__xludf.DUMMYFUNCTION("""COMPUTED_VALUE"""),47251.0)</f>
        <v>47251</v>
      </c>
      <c r="W13" s="16">
        <f>IFERROR(__xludf.DUMMYFUNCTION("""COMPUTED_VALUE"""),103.0)</f>
        <v>103</v>
      </c>
      <c r="X13" s="16">
        <f>IFERROR(__xludf.DUMMYFUNCTION("""COMPUTED_VALUE"""),11873.0)</f>
        <v>11873</v>
      </c>
      <c r="Y13" s="16"/>
      <c r="Z13" s="16">
        <f>IFERROR(__xludf.DUMMYFUNCTION("""COMPUTED_VALUE"""),152777.0)</f>
        <v>152777</v>
      </c>
      <c r="AA13" s="16">
        <f>IFERROR(__xludf.DUMMYFUNCTION("""COMPUTED_VALUE"""),23397.0)</f>
        <v>23397</v>
      </c>
      <c r="AB13" s="16">
        <f>IFERROR(__xludf.DUMMYFUNCTION("""COMPUTED_VALUE"""),183831.0)</f>
        <v>183831</v>
      </c>
      <c r="AC13" s="17">
        <v>936222.0</v>
      </c>
      <c r="AD13" s="10"/>
      <c r="AE13" s="10"/>
      <c r="AF13" s="10"/>
      <c r="AG13" s="10"/>
      <c r="AH13" s="18"/>
      <c r="AI13" s="10"/>
    </row>
    <row r="14">
      <c r="A14" s="19"/>
      <c r="B14" s="20">
        <f>IFERROR(__xludf.DUMMYFUNCTION("""COMPUTED_VALUE"""),2022.0)</f>
        <v>2022</v>
      </c>
      <c r="C14" s="16">
        <f>IFERROR(__xludf.DUMMYFUNCTION("""COMPUTED_VALUE"""),44390.0)</f>
        <v>44390</v>
      </c>
      <c r="D14" s="16">
        <f>IFERROR(__xludf.DUMMYFUNCTION("""COMPUTED_VALUE"""),439770.0)</f>
        <v>439770</v>
      </c>
      <c r="E14" s="16">
        <f>IFERROR(__xludf.DUMMYFUNCTION("""COMPUTED_VALUE"""),233964.0)</f>
        <v>233964</v>
      </c>
      <c r="F14" s="16">
        <f>IFERROR(__xludf.DUMMYFUNCTION("""COMPUTED_VALUE"""),84675.0)</f>
        <v>84675</v>
      </c>
      <c r="G14" s="16">
        <f>IFERROR(__xludf.DUMMYFUNCTION("""COMPUTED_VALUE"""),511052.0)</f>
        <v>511052</v>
      </c>
      <c r="H14" s="17">
        <v>1313851.0</v>
      </c>
      <c r="I14" s="19"/>
      <c r="J14" s="20">
        <f>IFERROR(__xludf.DUMMYFUNCTION("""COMPUTED_VALUE"""),2022.0)</f>
        <v>2022</v>
      </c>
      <c r="K14" s="16"/>
      <c r="L14" s="16">
        <f>IFERROR(__xludf.DUMMYFUNCTION("""COMPUTED_VALUE"""),24344.0)</f>
        <v>24344</v>
      </c>
      <c r="M14" s="16">
        <f>IFERROR(__xludf.DUMMYFUNCTION("""COMPUTED_VALUE"""),3048.0)</f>
        <v>3048</v>
      </c>
      <c r="N14" s="16">
        <f>IFERROR(__xludf.DUMMYFUNCTION("""COMPUTED_VALUE"""),16998.0)</f>
        <v>16998</v>
      </c>
      <c r="O14" s="16">
        <f>IFERROR(__xludf.DUMMYFUNCTION("""COMPUTED_VALUE"""),124456.0)</f>
        <v>124456</v>
      </c>
      <c r="P14" s="16">
        <f>IFERROR(__xludf.DUMMYFUNCTION("""COMPUTED_VALUE"""),0.0)</f>
        <v>0</v>
      </c>
      <c r="Q14" s="16">
        <f>IFERROR(__xludf.DUMMYFUNCTION("""COMPUTED_VALUE"""),315314.0)</f>
        <v>315314</v>
      </c>
      <c r="R14" s="16">
        <f>IFERROR(__xludf.DUMMYFUNCTION("""COMPUTED_VALUE"""),92356.0)</f>
        <v>92356</v>
      </c>
      <c r="S14" s="16">
        <f>IFERROR(__xludf.DUMMYFUNCTION("""COMPUTED_VALUE"""),2911.0)</f>
        <v>2911</v>
      </c>
      <c r="T14" s="16">
        <f>IFERROR(__xludf.DUMMYFUNCTION("""COMPUTED_VALUE"""),138697.0)</f>
        <v>138697</v>
      </c>
      <c r="U14" s="16"/>
      <c r="V14" s="16">
        <f>IFERROR(__xludf.DUMMYFUNCTION("""COMPUTED_VALUE"""),41253.0)</f>
        <v>41253</v>
      </c>
      <c r="W14" s="16">
        <f>IFERROR(__xludf.DUMMYFUNCTION("""COMPUTED_VALUE"""),255.0)</f>
        <v>255</v>
      </c>
      <c r="X14" s="16">
        <f>IFERROR(__xludf.DUMMYFUNCTION("""COMPUTED_VALUE"""),43167.0)</f>
        <v>43167</v>
      </c>
      <c r="Y14" s="16"/>
      <c r="Z14" s="16">
        <f>IFERROR(__xludf.DUMMYFUNCTION("""COMPUTED_VALUE"""),199740.0)</f>
        <v>199740</v>
      </c>
      <c r="AA14" s="16">
        <f>IFERROR(__xludf.DUMMYFUNCTION("""COMPUTED_VALUE"""),60491.0)</f>
        <v>60491</v>
      </c>
      <c r="AB14" s="16">
        <f>IFERROR(__xludf.DUMMYFUNCTION("""COMPUTED_VALUE"""),250821.0)</f>
        <v>250821</v>
      </c>
      <c r="AC14" s="17">
        <v>1313851.0</v>
      </c>
      <c r="AD14" s="21"/>
      <c r="AF14" s="10"/>
      <c r="AG14" s="10"/>
      <c r="AH14" s="18"/>
      <c r="AI14" s="10"/>
    </row>
    <row r="15">
      <c r="A15" s="19"/>
      <c r="B15" s="20">
        <f>IFERROR(__xludf.DUMMYFUNCTION("""COMPUTED_VALUE"""),2023.0)</f>
        <v>2023</v>
      </c>
      <c r="C15" s="16">
        <f>IFERROR(__xludf.DUMMYFUNCTION("""COMPUTED_VALUE"""),51222.0)</f>
        <v>51222</v>
      </c>
      <c r="D15" s="16">
        <f>IFERROR(__xludf.DUMMYFUNCTION("""COMPUTED_VALUE"""),610685.0)</f>
        <v>610685</v>
      </c>
      <c r="E15" s="16">
        <f>IFERROR(__xludf.DUMMYFUNCTION("""COMPUTED_VALUE"""),365171.0)</f>
        <v>365171</v>
      </c>
      <c r="F15" s="16">
        <f>IFERROR(__xludf.DUMMYFUNCTION("""COMPUTED_VALUE"""),132864.0)</f>
        <v>132864</v>
      </c>
      <c r="G15" s="16">
        <f>IFERROR(__xludf.DUMMYFUNCTION("""COMPUTED_VALUE"""),648639.0)</f>
        <v>648639</v>
      </c>
      <c r="H15" s="17">
        <v>1808581.0</v>
      </c>
      <c r="I15" s="19"/>
      <c r="J15" s="20">
        <f>IFERROR(__xludf.DUMMYFUNCTION("""COMPUTED_VALUE"""),2023.0)</f>
        <v>2023</v>
      </c>
      <c r="K15" s="16"/>
      <c r="L15" s="16">
        <f>IFERROR(__xludf.DUMMYFUNCTION("""COMPUTED_VALUE"""),18725.0)</f>
        <v>18725</v>
      </c>
      <c r="M15" s="16">
        <f>IFERROR(__xludf.DUMMYFUNCTION("""COMPUTED_VALUE"""),2995.0)</f>
        <v>2995</v>
      </c>
      <c r="N15" s="16">
        <f>IFERROR(__xludf.DUMMYFUNCTION("""COMPUTED_VALUE"""),29502.0)</f>
        <v>29502</v>
      </c>
      <c r="O15" s="16">
        <f>IFERROR(__xludf.DUMMYFUNCTION("""COMPUTED_VALUE"""),147270.0)</f>
        <v>147270</v>
      </c>
      <c r="P15" s="16">
        <f>IFERROR(__xludf.DUMMYFUNCTION("""COMPUTED_VALUE"""),7021.0)</f>
        <v>7021</v>
      </c>
      <c r="Q15" s="16">
        <f>IFERROR(__xludf.DUMMYFUNCTION("""COMPUTED_VALUE"""),456394.0)</f>
        <v>456394</v>
      </c>
      <c r="R15" s="16">
        <f>IFERROR(__xludf.DUMMYFUNCTION("""COMPUTED_VALUE"""),100932.0)</f>
        <v>100932</v>
      </c>
      <c r="S15" s="16">
        <f>IFERROR(__xludf.DUMMYFUNCTION("""COMPUTED_VALUE"""),9054.0)</f>
        <v>9054</v>
      </c>
      <c r="T15" s="16">
        <f>IFERROR(__xludf.DUMMYFUNCTION("""COMPUTED_VALUE"""),255185.0)</f>
        <v>255185</v>
      </c>
      <c r="U15" s="16"/>
      <c r="V15" s="16">
        <f>IFERROR(__xludf.DUMMYFUNCTION("""COMPUTED_VALUE"""),34437.0)</f>
        <v>34437</v>
      </c>
      <c r="W15" s="16">
        <f>IFERROR(__xludf.DUMMYFUNCTION("""COMPUTED_VALUE"""),5198.0)</f>
        <v>5198</v>
      </c>
      <c r="X15" s="16">
        <f>IFERROR(__xludf.DUMMYFUNCTION("""COMPUTED_VALUE"""),93229.0)</f>
        <v>93229</v>
      </c>
      <c r="Y15" s="16">
        <f>IFERROR(__xludf.DUMMYFUNCTION("""COMPUTED_VALUE"""),124.0)</f>
        <v>124</v>
      </c>
      <c r="Z15" s="16">
        <f>IFERROR(__xludf.DUMMYFUNCTION("""COMPUTED_VALUE"""),219000.0)</f>
        <v>219000</v>
      </c>
      <c r="AA15" s="16">
        <f>IFERROR(__xludf.DUMMYFUNCTION("""COMPUTED_VALUE"""),44482.0)</f>
        <v>44482</v>
      </c>
      <c r="AB15" s="16">
        <f>IFERROR(__xludf.DUMMYFUNCTION("""COMPUTED_VALUE"""),385033.0)</f>
        <v>385033</v>
      </c>
      <c r="AC15" s="17">
        <v>1808581.0</v>
      </c>
      <c r="AD15" s="21"/>
      <c r="AF15" s="10"/>
      <c r="AG15" s="10"/>
      <c r="AH15" s="18"/>
      <c r="AI15" s="10"/>
    </row>
    <row r="16">
      <c r="A16" s="19"/>
      <c r="B16" s="20">
        <f>IFERROR(__xludf.DUMMYFUNCTION("""COMPUTED_VALUE"""),2024.0)</f>
        <v>2024</v>
      </c>
      <c r="C16" s="16">
        <f>IFERROR(__xludf.DUMMYFUNCTION("""COMPUTED_VALUE"""),45621.0)</f>
        <v>45621</v>
      </c>
      <c r="D16" s="16">
        <f>IFERROR(__xludf.DUMMYFUNCTION("""COMPUTED_VALUE"""),659147.0)</f>
        <v>659147</v>
      </c>
      <c r="E16" s="16">
        <f>IFERROR(__xludf.DUMMYFUNCTION("""COMPUTED_VALUE"""),325989.0)</f>
        <v>325989</v>
      </c>
      <c r="F16" s="16">
        <f>IFERROR(__xludf.DUMMYFUNCTION("""COMPUTED_VALUE"""),138520.0)</f>
        <v>138520</v>
      </c>
      <c r="G16" s="16">
        <f>IFERROR(__xludf.DUMMYFUNCTION("""COMPUTED_VALUE"""),619949.0)</f>
        <v>619949</v>
      </c>
      <c r="H16" s="17">
        <v>1789226.0</v>
      </c>
      <c r="I16" s="19"/>
      <c r="J16" s="20">
        <f>IFERROR(__xludf.DUMMYFUNCTION("""COMPUTED_VALUE"""),2024.0)</f>
        <v>2024</v>
      </c>
      <c r="K16" s="16">
        <f>IFERROR(__xludf.DUMMYFUNCTION("""COMPUTED_VALUE"""),1540.0)</f>
        <v>1540</v>
      </c>
      <c r="L16" s="16">
        <f>IFERROR(__xludf.DUMMYFUNCTION("""COMPUTED_VALUE"""),11215.0)</f>
        <v>11215</v>
      </c>
      <c r="M16" s="16">
        <f>IFERROR(__xludf.DUMMYFUNCTION("""COMPUTED_VALUE"""),2690.0)</f>
        <v>2690</v>
      </c>
      <c r="N16" s="16">
        <f>IFERROR(__xludf.DUMMYFUNCTION("""COMPUTED_VALUE"""),30176.0)</f>
        <v>30176</v>
      </c>
      <c r="O16" s="16">
        <f>IFERROR(__xludf.DUMMYFUNCTION("""COMPUTED_VALUE"""),176793.0)</f>
        <v>176793</v>
      </c>
      <c r="P16" s="16">
        <f>IFERROR(__xludf.DUMMYFUNCTION("""COMPUTED_VALUE"""),2045.0)</f>
        <v>2045</v>
      </c>
      <c r="Q16" s="16">
        <f>IFERROR(__xludf.DUMMYFUNCTION("""COMPUTED_VALUE"""),480309.0)</f>
        <v>480309</v>
      </c>
      <c r="R16" s="16">
        <f>IFERROR(__xludf.DUMMYFUNCTION("""COMPUTED_VALUE"""),105238.0)</f>
        <v>105238</v>
      </c>
      <c r="S16" s="16">
        <f>IFERROR(__xludf.DUMMYFUNCTION("""COMPUTED_VALUE"""),3371.0)</f>
        <v>3371</v>
      </c>
      <c r="T16" s="16">
        <f>IFERROR(__xludf.DUMMYFUNCTION("""COMPUTED_VALUE"""),217380.0)</f>
        <v>217380</v>
      </c>
      <c r="U16" s="16"/>
      <c r="V16" s="16">
        <f>IFERROR(__xludf.DUMMYFUNCTION("""COMPUTED_VALUE"""),56500.0)</f>
        <v>56500</v>
      </c>
      <c r="W16" s="16">
        <f>IFERROR(__xludf.DUMMYFUNCTION("""COMPUTED_VALUE"""),2562.0)</f>
        <v>2562</v>
      </c>
      <c r="X16" s="16">
        <f>IFERROR(__xludf.DUMMYFUNCTION("""COMPUTED_VALUE"""),79458.0)</f>
        <v>79458</v>
      </c>
      <c r="Y16" s="16">
        <f>IFERROR(__xludf.DUMMYFUNCTION("""COMPUTED_VALUE"""),39200.0)</f>
        <v>39200</v>
      </c>
      <c r="Z16" s="16">
        <f>IFERROR(__xludf.DUMMYFUNCTION("""COMPUTED_VALUE"""),175000.0)</f>
        <v>175000</v>
      </c>
      <c r="AA16" s="16">
        <f>IFERROR(__xludf.DUMMYFUNCTION("""COMPUTED_VALUE"""),33725.0)</f>
        <v>33725</v>
      </c>
      <c r="AB16" s="16">
        <f>IFERROR(__xludf.DUMMYFUNCTION("""COMPUTED_VALUE"""),372024.0)</f>
        <v>372024</v>
      </c>
      <c r="AC16" s="17">
        <v>1789226.0</v>
      </c>
      <c r="AD16" s="21"/>
      <c r="AF16" s="10"/>
      <c r="AG16" s="10"/>
      <c r="AH16" s="18"/>
      <c r="AI16" s="10"/>
    </row>
    <row r="17">
      <c r="A17" s="19"/>
      <c r="B17" s="20">
        <f>IFERROR(__xludf.DUMMYFUNCTION("""COMPUTED_VALUE"""),2025.0)</f>
        <v>2025</v>
      </c>
      <c r="C17" s="16">
        <f>IFERROR(__xludf.DUMMYFUNCTION("""COMPUTED_VALUE"""),11130.0)</f>
        <v>11130</v>
      </c>
      <c r="D17" s="16">
        <f>IFERROR(__xludf.DUMMYFUNCTION("""COMPUTED_VALUE"""),626594.0)</f>
        <v>626594</v>
      </c>
      <c r="E17" s="16">
        <f>IFERROR(__xludf.DUMMYFUNCTION("""COMPUTED_VALUE"""),238282.0)</f>
        <v>238282</v>
      </c>
      <c r="F17" s="16">
        <f>IFERROR(__xludf.DUMMYFUNCTION("""COMPUTED_VALUE"""),185196.0)</f>
        <v>185196</v>
      </c>
      <c r="G17" s="16">
        <f>IFERROR(__xludf.DUMMYFUNCTION("""COMPUTED_VALUE"""),574927.0)</f>
        <v>574927</v>
      </c>
      <c r="H17" s="17">
        <v>1636129.0</v>
      </c>
      <c r="I17" s="19"/>
      <c r="J17" s="20">
        <f>IFERROR(__xludf.DUMMYFUNCTION("""COMPUTED_VALUE"""),2025.0)</f>
        <v>2025</v>
      </c>
      <c r="K17" s="16">
        <f>IFERROR(__xludf.DUMMYFUNCTION("""COMPUTED_VALUE"""),1697.0)</f>
        <v>1697</v>
      </c>
      <c r="L17" s="16">
        <f>IFERROR(__xludf.DUMMYFUNCTION("""COMPUTED_VALUE"""),1451.0)</f>
        <v>1451</v>
      </c>
      <c r="M17" s="16">
        <f>IFERROR(__xludf.DUMMYFUNCTION("""COMPUTED_VALUE"""),279.0)</f>
        <v>279</v>
      </c>
      <c r="N17" s="16">
        <f>IFERROR(__xludf.DUMMYFUNCTION("""COMPUTED_VALUE"""),7703.0)</f>
        <v>7703</v>
      </c>
      <c r="O17" s="16">
        <f>IFERROR(__xludf.DUMMYFUNCTION("""COMPUTED_VALUE"""),200361.0)</f>
        <v>200361</v>
      </c>
      <c r="P17" s="16">
        <f>IFERROR(__xludf.DUMMYFUNCTION("""COMPUTED_VALUE"""),896.0)</f>
        <v>896</v>
      </c>
      <c r="Q17" s="16">
        <f>IFERROR(__xludf.DUMMYFUNCTION("""COMPUTED_VALUE"""),425337.0)</f>
        <v>425337</v>
      </c>
      <c r="R17" s="16">
        <f>IFERROR(__xludf.DUMMYFUNCTION("""COMPUTED_VALUE"""),83675.0)</f>
        <v>83675</v>
      </c>
      <c r="S17" s="16">
        <f>IFERROR(__xludf.DUMMYFUNCTION("""COMPUTED_VALUE"""),1070.0)</f>
        <v>1070</v>
      </c>
      <c r="T17" s="16">
        <f>IFERROR(__xludf.DUMMYFUNCTION("""COMPUTED_VALUE"""),153537.0)</f>
        <v>153537</v>
      </c>
      <c r="U17" s="16">
        <f>IFERROR(__xludf.DUMMYFUNCTION("""COMPUTED_VALUE"""),356.0)</f>
        <v>356</v>
      </c>
      <c r="V17" s="16">
        <f>IFERROR(__xludf.DUMMYFUNCTION("""COMPUTED_VALUE"""),37071.0)</f>
        <v>37071</v>
      </c>
      <c r="W17" s="16">
        <f>IFERROR(__xludf.DUMMYFUNCTION("""COMPUTED_VALUE"""),870.0)</f>
        <v>870</v>
      </c>
      <c r="X17" s="16">
        <f>IFERROR(__xludf.DUMMYFUNCTION("""COMPUTED_VALUE"""),146899.0)</f>
        <v>146899</v>
      </c>
      <c r="Y17" s="16">
        <f>IFERROR(__xludf.DUMMYFUNCTION("""COMPUTED_VALUE"""),18768.0)</f>
        <v>18768</v>
      </c>
      <c r="Z17" s="16">
        <f>IFERROR(__xludf.DUMMYFUNCTION("""COMPUTED_VALUE"""),166810.0)</f>
        <v>166810</v>
      </c>
      <c r="AA17" s="16">
        <f>IFERROR(__xludf.DUMMYFUNCTION("""COMPUTED_VALUE"""),26914.0)</f>
        <v>26914</v>
      </c>
      <c r="AB17" s="16">
        <f>IFERROR(__xludf.DUMMYFUNCTION("""COMPUTED_VALUE"""),362435.0)</f>
        <v>362435</v>
      </c>
      <c r="AC17" s="17">
        <v>1636129.0</v>
      </c>
      <c r="AD17" s="19"/>
      <c r="AF17" s="10"/>
      <c r="AG17" s="10"/>
      <c r="AH17" s="10"/>
      <c r="AI17" s="10"/>
    </row>
    <row r="18">
      <c r="A18" s="19"/>
      <c r="B18" s="22" t="str">
        <f>IFERROR(__xludf.DUMMYFUNCTION("""COMPUTED_VALUE"""),"Total")</f>
        <v>Total</v>
      </c>
      <c r="C18" s="17">
        <f>IFERROR(__xludf.DUMMYFUNCTION("""COMPUTED_VALUE"""),227884.0)</f>
        <v>227884</v>
      </c>
      <c r="D18" s="17">
        <f>IFERROR(__xludf.DUMMYFUNCTION("""COMPUTED_VALUE"""),2891283.0)</f>
        <v>2891283</v>
      </c>
      <c r="E18" s="17">
        <f>IFERROR(__xludf.DUMMYFUNCTION("""COMPUTED_VALUE"""),1646943.0)</f>
        <v>1646943</v>
      </c>
      <c r="F18" s="17">
        <f>IFERROR(__xludf.DUMMYFUNCTION("""COMPUTED_VALUE"""),657995.0)</f>
        <v>657995</v>
      </c>
      <c r="G18" s="17">
        <f>IFERROR(__xludf.DUMMYFUNCTION("""COMPUTED_VALUE"""),3459619.0)</f>
        <v>3459619</v>
      </c>
      <c r="H18" s="17">
        <v>8883724.0</v>
      </c>
      <c r="I18" s="19"/>
      <c r="J18" s="22" t="str">
        <f>IFERROR(__xludf.DUMMYFUNCTION("""COMPUTED_VALUE"""),"Total")</f>
        <v>Total</v>
      </c>
      <c r="K18" s="17">
        <f>IFERROR(__xludf.DUMMYFUNCTION("""COMPUTED_VALUE"""),3237.0)</f>
        <v>3237</v>
      </c>
      <c r="L18" s="17">
        <f>IFERROR(__xludf.DUMMYFUNCTION("""COMPUTED_VALUE"""),104339.0)</f>
        <v>104339</v>
      </c>
      <c r="M18" s="17">
        <f>IFERROR(__xludf.DUMMYFUNCTION("""COMPUTED_VALUE"""),23207.0)</f>
        <v>23207</v>
      </c>
      <c r="N18" s="17">
        <f>IFERROR(__xludf.DUMMYFUNCTION("""COMPUTED_VALUE"""),97101.0)</f>
        <v>97101</v>
      </c>
      <c r="O18" s="17">
        <f>IFERROR(__xludf.DUMMYFUNCTION("""COMPUTED_VALUE"""),968981.0)</f>
        <v>968981</v>
      </c>
      <c r="P18" s="17">
        <f>IFERROR(__xludf.DUMMYFUNCTION("""COMPUTED_VALUE"""),75095.0)</f>
        <v>75095</v>
      </c>
      <c r="Q18" s="17">
        <f>IFERROR(__xludf.DUMMYFUNCTION("""COMPUTED_VALUE"""),1847207.0)</f>
        <v>1847207</v>
      </c>
      <c r="R18" s="17">
        <f>IFERROR(__xludf.DUMMYFUNCTION("""COMPUTED_VALUE"""),709725.0)</f>
        <v>709725</v>
      </c>
      <c r="S18" s="17">
        <f>IFERROR(__xludf.DUMMYFUNCTION("""COMPUTED_VALUE"""),147042.0)</f>
        <v>147042</v>
      </c>
      <c r="T18" s="17">
        <f>IFERROR(__xludf.DUMMYFUNCTION("""COMPUTED_VALUE"""),790176.0)</f>
        <v>790176</v>
      </c>
      <c r="U18" s="17">
        <f>IFERROR(__xludf.DUMMYFUNCTION("""COMPUTED_VALUE"""),356.0)</f>
        <v>356</v>
      </c>
      <c r="V18" s="17">
        <f>IFERROR(__xludf.DUMMYFUNCTION("""COMPUTED_VALUE"""),249445.0)</f>
        <v>249445</v>
      </c>
      <c r="W18" s="17">
        <f>IFERROR(__xludf.DUMMYFUNCTION("""COMPUTED_VALUE"""),33568.0)</f>
        <v>33568</v>
      </c>
      <c r="X18" s="17">
        <f>IFERROR(__xludf.DUMMYFUNCTION("""COMPUTED_VALUE"""),374626.0)</f>
        <v>374626</v>
      </c>
      <c r="Y18" s="17">
        <f>IFERROR(__xludf.DUMMYFUNCTION("""COMPUTED_VALUE"""),58092.0)</f>
        <v>58092</v>
      </c>
      <c r="Z18" s="17">
        <f>IFERROR(__xludf.DUMMYFUNCTION("""COMPUTED_VALUE"""),1299275.0)</f>
        <v>1299275</v>
      </c>
      <c r="AA18" s="17">
        <f>IFERROR(__xludf.DUMMYFUNCTION("""COMPUTED_VALUE"""),464394.0)</f>
        <v>464394</v>
      </c>
      <c r="AB18" s="17">
        <f>IFERROR(__xludf.DUMMYFUNCTION("""COMPUTED_VALUE"""),1637858.0)</f>
        <v>1637858</v>
      </c>
      <c r="AC18" s="17">
        <v>8883724.0</v>
      </c>
      <c r="AD18" s="10"/>
      <c r="AE18" s="10"/>
      <c r="AF18" s="10"/>
      <c r="AG18" s="10"/>
      <c r="AH18" s="10"/>
      <c r="AI18" s="10"/>
    </row>
    <row r="19">
      <c r="A19" s="14"/>
      <c r="B19" s="14"/>
      <c r="C19" s="10"/>
      <c r="D19" s="10"/>
      <c r="E19" s="10"/>
      <c r="F19" s="10"/>
      <c r="G19" s="10"/>
      <c r="H19" s="10"/>
      <c r="I19" s="14"/>
      <c r="J19" s="14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>
      <c r="A20" s="14"/>
      <c r="B20" s="10"/>
      <c r="C20" s="10"/>
      <c r="D20" s="10"/>
      <c r="E20" s="10"/>
      <c r="F20" s="10"/>
      <c r="G20" s="10"/>
      <c r="H20" s="10"/>
      <c r="I20" s="14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>
      <c r="A21" s="14"/>
      <c r="B21" s="14"/>
      <c r="C21" s="10"/>
      <c r="D21" s="10"/>
      <c r="E21" s="10"/>
      <c r="F21" s="10"/>
      <c r="G21" s="10"/>
      <c r="H21" s="10"/>
      <c r="I21" s="14"/>
      <c r="J21" s="14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>
      <c r="A22" s="1"/>
      <c r="I22" s="1"/>
      <c r="J22" s="2"/>
      <c r="K22" s="3" t="str">
        <f>IFERROR(__xludf.DUMMYFUNCTION("transpose(split(K24,"",""))"),"Canada")</f>
        <v>Canada</v>
      </c>
      <c r="L22" s="3" t="str">
        <f>IFERROR(__xludf.DUMMYFUNCTION("transpose(split(L24,"",""))"),"Canada")</f>
        <v>Canada</v>
      </c>
      <c r="M22" s="3" t="str">
        <f>IFERROR(__xludf.DUMMYFUNCTION("transpose(split(M24,"",""))"),"Canada")</f>
        <v>Canada</v>
      </c>
      <c r="N22" s="3" t="str">
        <f>IFERROR(__xludf.DUMMYFUNCTION("transpose(split(N24,"",""))"),"Canada")</f>
        <v>Canada</v>
      </c>
      <c r="O22" s="3" t="str">
        <f>IFERROR(__xludf.DUMMYFUNCTION("transpose(split(O24,"",""))"),"China")</f>
        <v>China</v>
      </c>
      <c r="P22" s="3" t="str">
        <f>IFERROR(__xludf.DUMMYFUNCTION("transpose(split(P24,"",""))"),"China")</f>
        <v>China</v>
      </c>
      <c r="Q22" s="3" t="str">
        <f>IFERROR(__xludf.DUMMYFUNCTION("transpose(split(Q24,"",""))"),"China")</f>
        <v>China</v>
      </c>
      <c r="R22" s="3" t="str">
        <f>IFERROR(__xludf.DUMMYFUNCTION("transpose(split(R24,"",""))"),"Europe")</f>
        <v>Europe</v>
      </c>
      <c r="S22" s="3" t="str">
        <f>IFERROR(__xludf.DUMMYFUNCTION("transpose(split(S24,"",""))"),"Europe")</f>
        <v>Europe</v>
      </c>
      <c r="T22" s="3" t="str">
        <f>IFERROR(__xludf.DUMMYFUNCTION("transpose(split(T24,"",""))"),"Europe")</f>
        <v>Europe</v>
      </c>
      <c r="U22" s="3" t="str">
        <f>IFERROR(__xludf.DUMMYFUNCTION("transpose(split(U24,"",""))"),"ROW")</f>
        <v>ROW</v>
      </c>
      <c r="V22" s="3" t="str">
        <f>IFERROR(__xludf.DUMMYFUNCTION("transpose(split(V24,"",""))"),"ROW")</f>
        <v>ROW</v>
      </c>
      <c r="W22" s="3" t="str">
        <f>IFERROR(__xludf.DUMMYFUNCTION("transpose(split(W24,"",""))"),"ROW")</f>
        <v>ROW</v>
      </c>
      <c r="X22" s="3" t="str">
        <f>IFERROR(__xludf.DUMMYFUNCTION("transpose(split(X24,"",""))"),"ROW")</f>
        <v>ROW</v>
      </c>
      <c r="Y22" s="3" t="str">
        <f>IFERROR(__xludf.DUMMYFUNCTION("transpose(split(Y24,"",""))"),"USA")</f>
        <v>USA</v>
      </c>
      <c r="Z22" s="3" t="str">
        <f>IFERROR(__xludf.DUMMYFUNCTION("transpose(split(Z24,"",""))"),"USA")</f>
        <v>USA</v>
      </c>
      <c r="AA22" s="3" t="str">
        <f>IFERROR(__xludf.DUMMYFUNCTION("transpose(split(AA24,"",""))"),"USA")</f>
        <v>USA</v>
      </c>
      <c r="AB22" s="3" t="str">
        <f>IFERROR(__xludf.DUMMYFUNCTION("transpose(split(AB24,"",""))"),"USA")</f>
        <v>USA</v>
      </c>
      <c r="AC22" s="6" t="s">
        <v>1</v>
      </c>
      <c r="AD22" s="4"/>
      <c r="AE22" s="4"/>
      <c r="AF22" s="4"/>
      <c r="AG22" s="4"/>
      <c r="AH22" s="4"/>
      <c r="AI22" s="4"/>
    </row>
    <row r="23">
      <c r="A23" s="5"/>
      <c r="B23" s="2" t="s">
        <v>0</v>
      </c>
      <c r="C23" s="3" t="str">
        <f>IFERROR(__xludf.DUMMYFUNCTION("transpose(split(C24,"",""))"),"Canada")</f>
        <v>Canada</v>
      </c>
      <c r="D23" s="3" t="str">
        <f>IFERROR(__xludf.DUMMYFUNCTION("transpose(split(D24,"",""))"),"China")</f>
        <v>China</v>
      </c>
      <c r="E23" s="3" t="str">
        <f>IFERROR(__xludf.DUMMYFUNCTION("transpose(split(E24,"",""))"),"Europe")</f>
        <v>Europe</v>
      </c>
      <c r="F23" s="3" t="str">
        <f>IFERROR(__xludf.DUMMYFUNCTION("transpose(split(F24,"",""))"),"ROW")</f>
        <v>ROW</v>
      </c>
      <c r="G23" s="3" t="str">
        <f>IFERROR(__xludf.DUMMYFUNCTION("transpose(split(G24,"",""))"),"USA")</f>
        <v>USA</v>
      </c>
      <c r="H23" s="6" t="s">
        <v>1</v>
      </c>
      <c r="I23" s="5"/>
      <c r="J23" s="7" t="s">
        <v>0</v>
      </c>
      <c r="K23" s="8" t="str">
        <f>IFERROR(__xludf.DUMMYFUNCTION("""COMPUTED_VALUE"""),"Cybertruck")</f>
        <v>Cybertruck</v>
      </c>
      <c r="L23" s="8" t="str">
        <f>IFERROR(__xludf.DUMMYFUNCTION("""COMPUTED_VALUE"""),"Model 3")</f>
        <v>Model 3</v>
      </c>
      <c r="M23" s="8" t="str">
        <f>IFERROR(__xludf.DUMMYFUNCTION("""COMPUTED_VALUE"""),"Model S/X")</f>
        <v>Model S/X</v>
      </c>
      <c r="N23" s="8" t="str">
        <f>IFERROR(__xludf.DUMMYFUNCTION("""COMPUTED_VALUE"""),"Model Y")</f>
        <v>Model Y</v>
      </c>
      <c r="O23" s="8" t="str">
        <f>IFERROR(__xludf.DUMMYFUNCTION("""COMPUTED_VALUE"""),"Model 3")</f>
        <v>Model 3</v>
      </c>
      <c r="P23" s="8" t="str">
        <f>IFERROR(__xludf.DUMMYFUNCTION("""COMPUTED_VALUE"""),"Model S/X")</f>
        <v>Model S/X</v>
      </c>
      <c r="Q23" s="8" t="str">
        <f>IFERROR(__xludf.DUMMYFUNCTION("""COMPUTED_VALUE"""),"Model Y")</f>
        <v>Model Y</v>
      </c>
      <c r="R23" s="8" t="str">
        <f>IFERROR(__xludf.DUMMYFUNCTION("""COMPUTED_VALUE"""),"Model 3")</f>
        <v>Model 3</v>
      </c>
      <c r="S23" s="8" t="str">
        <f>IFERROR(__xludf.DUMMYFUNCTION("""COMPUTED_VALUE"""),"Model S/X")</f>
        <v>Model S/X</v>
      </c>
      <c r="T23" s="8" t="str">
        <f>IFERROR(__xludf.DUMMYFUNCTION("""COMPUTED_VALUE"""),"Model Y")</f>
        <v>Model Y</v>
      </c>
      <c r="U23" s="8" t="str">
        <f>IFERROR(__xludf.DUMMYFUNCTION("""COMPUTED_VALUE"""),"Cybertruck")</f>
        <v>Cybertruck</v>
      </c>
      <c r="V23" s="8" t="str">
        <f>IFERROR(__xludf.DUMMYFUNCTION("""COMPUTED_VALUE"""),"Model 3")</f>
        <v>Model 3</v>
      </c>
      <c r="W23" s="8" t="str">
        <f>IFERROR(__xludf.DUMMYFUNCTION("""COMPUTED_VALUE"""),"Model S/X")</f>
        <v>Model S/X</v>
      </c>
      <c r="X23" s="8" t="str">
        <f>IFERROR(__xludf.DUMMYFUNCTION("""COMPUTED_VALUE"""),"Model Y")</f>
        <v>Model Y</v>
      </c>
      <c r="Y23" s="8" t="str">
        <f>IFERROR(__xludf.DUMMYFUNCTION("""COMPUTED_VALUE"""),"Cybertruck")</f>
        <v>Cybertruck</v>
      </c>
      <c r="Z23" s="8" t="str">
        <f>IFERROR(__xludf.DUMMYFUNCTION("""COMPUTED_VALUE"""),"Model 3")</f>
        <v>Model 3</v>
      </c>
      <c r="AA23" s="8" t="str">
        <f>IFERROR(__xludf.DUMMYFUNCTION("""COMPUTED_VALUE"""),"Model S/X")</f>
        <v>Model S/X</v>
      </c>
      <c r="AB23" s="8" t="str">
        <f>IFERROR(__xludf.DUMMYFUNCTION("""COMPUTED_VALUE"""),"Model Y")</f>
        <v>Model Y</v>
      </c>
      <c r="AC23" s="9" t="s">
        <v>2</v>
      </c>
      <c r="AD23" s="10"/>
      <c r="AE23" s="10"/>
      <c r="AF23" s="10"/>
      <c r="AG23" s="10"/>
      <c r="AH23" s="10"/>
      <c r="AI23" s="10"/>
    </row>
    <row r="24" hidden="1">
      <c r="A24" s="11"/>
      <c r="B24" s="12" t="str">
        <f>IFERROR(__xludf.DUMMYFUNCTION("{query({Delivery_Data!$A:$I},""select Col3,sum(Col8) where Col3 is not null and Col8 is not null group by Col3 pivot Col6"",1);index(query({Delivery_Data!$A:$I},""select 'Total',sum(Col8) where Col3 is not null and Col8 is not null pivot Col6"",1),2,0)}"),"Quarter")</f>
        <v>Quarter</v>
      </c>
      <c r="C24" s="13" t="str">
        <f>IFERROR(__xludf.DUMMYFUNCTION("""COMPUTED_VALUE"""),"Canada")</f>
        <v>Canada</v>
      </c>
      <c r="D24" s="13" t="str">
        <f>IFERROR(__xludf.DUMMYFUNCTION("""COMPUTED_VALUE"""),"China")</f>
        <v>China</v>
      </c>
      <c r="E24" s="13" t="str">
        <f>IFERROR(__xludf.DUMMYFUNCTION("""COMPUTED_VALUE"""),"Europe")</f>
        <v>Europe</v>
      </c>
      <c r="F24" s="13" t="str">
        <f>IFERROR(__xludf.DUMMYFUNCTION("""COMPUTED_VALUE"""),"ROW")</f>
        <v>ROW</v>
      </c>
      <c r="G24" s="13" t="str">
        <f>IFERROR(__xludf.DUMMYFUNCTION("""COMPUTED_VALUE"""),"USA")</f>
        <v>USA</v>
      </c>
      <c r="H24" s="13" t="str">
        <f t="array" ref="H24:H79">{"Total";if($B25:$B79="",,mmult(n($C$25:$G$79),transpose(sign(column($C$25:$G$79)))))}</f>
        <v>Total</v>
      </c>
      <c r="I24" s="11"/>
      <c r="J24" s="12" t="str">
        <f>IFERROR(__xludf.DUMMYFUNCTION("{query({Delivery_Data!$A:$I},""select Col3,sum(Col8) where Col3 is not null and Col8 is not null group by Col3 pivot Col6,Col4"",1);index(query({Delivery_Data!$A:$I},""select 'Total',sum(Col8) where Col3 is not null and Col8 is not null pivot Col6,Col4"","&amp;"1),2,0)}"),"Quarter")</f>
        <v>Quarter</v>
      </c>
      <c r="K24" s="13" t="str">
        <f>IFERROR(__xludf.DUMMYFUNCTION("""COMPUTED_VALUE"""),"Canada,Cybertruck")</f>
        <v>Canada,Cybertruck</v>
      </c>
      <c r="L24" s="13" t="str">
        <f>IFERROR(__xludf.DUMMYFUNCTION("""COMPUTED_VALUE"""),"Canada,Model 3")</f>
        <v>Canada,Model 3</v>
      </c>
      <c r="M24" s="13" t="str">
        <f>IFERROR(__xludf.DUMMYFUNCTION("""COMPUTED_VALUE"""),"Canada,Model S/X")</f>
        <v>Canada,Model S/X</v>
      </c>
      <c r="N24" s="13" t="str">
        <f>IFERROR(__xludf.DUMMYFUNCTION("""COMPUTED_VALUE"""),"Canada,Model Y")</f>
        <v>Canada,Model Y</v>
      </c>
      <c r="O24" s="13" t="str">
        <f>IFERROR(__xludf.DUMMYFUNCTION("""COMPUTED_VALUE"""),"China,Model 3")</f>
        <v>China,Model 3</v>
      </c>
      <c r="P24" s="13" t="str">
        <f>IFERROR(__xludf.DUMMYFUNCTION("""COMPUTED_VALUE"""),"China,Model S/X")</f>
        <v>China,Model S/X</v>
      </c>
      <c r="Q24" s="13" t="str">
        <f>IFERROR(__xludf.DUMMYFUNCTION("""COMPUTED_VALUE"""),"China,Model Y")</f>
        <v>China,Model Y</v>
      </c>
      <c r="R24" s="13" t="str">
        <f>IFERROR(__xludf.DUMMYFUNCTION("""COMPUTED_VALUE"""),"Europe,Model 3")</f>
        <v>Europe,Model 3</v>
      </c>
      <c r="S24" s="13" t="str">
        <f>IFERROR(__xludf.DUMMYFUNCTION("""COMPUTED_VALUE"""),"Europe,Model S/X")</f>
        <v>Europe,Model S/X</v>
      </c>
      <c r="T24" s="13" t="str">
        <f>IFERROR(__xludf.DUMMYFUNCTION("""COMPUTED_VALUE"""),"Europe,Model Y")</f>
        <v>Europe,Model Y</v>
      </c>
      <c r="U24" s="13" t="str">
        <f>IFERROR(__xludf.DUMMYFUNCTION("""COMPUTED_VALUE"""),"ROW,Cybertruck")</f>
        <v>ROW,Cybertruck</v>
      </c>
      <c r="V24" s="13" t="str">
        <f>IFERROR(__xludf.DUMMYFUNCTION("""COMPUTED_VALUE"""),"ROW,Model 3")</f>
        <v>ROW,Model 3</v>
      </c>
      <c r="W24" s="13" t="str">
        <f>IFERROR(__xludf.DUMMYFUNCTION("""COMPUTED_VALUE"""),"ROW,Model S/X")</f>
        <v>ROW,Model S/X</v>
      </c>
      <c r="X24" s="13" t="str">
        <f>IFERROR(__xludf.DUMMYFUNCTION("""COMPUTED_VALUE"""),"ROW,Model Y")</f>
        <v>ROW,Model Y</v>
      </c>
      <c r="Y24" s="13" t="str">
        <f>IFERROR(__xludf.DUMMYFUNCTION("""COMPUTED_VALUE"""),"USA,Cybertruck")</f>
        <v>USA,Cybertruck</v>
      </c>
      <c r="Z24" s="13" t="str">
        <f>IFERROR(__xludf.DUMMYFUNCTION("""COMPUTED_VALUE"""),"USA,Model 3")</f>
        <v>USA,Model 3</v>
      </c>
      <c r="AA24" s="13" t="str">
        <f>IFERROR(__xludf.DUMMYFUNCTION("""COMPUTED_VALUE"""),"USA,Model S/X")</f>
        <v>USA,Model S/X</v>
      </c>
      <c r="AB24" s="13" t="str">
        <f>IFERROR(__xludf.DUMMYFUNCTION("""COMPUTED_VALUE"""),"USA,Model Y")</f>
        <v>USA,Model Y</v>
      </c>
      <c r="AC24" s="13" t="str">
        <f t="array" ref="AC24:AC79">{"Total";if($J25:$J79="",,mmult(n($K$25:$AB$79),transpose(sign(column($K$25:$AB$79)))))}</f>
        <v>Total</v>
      </c>
      <c r="AD24" s="4"/>
      <c r="AE24" s="4"/>
      <c r="AF24" s="4"/>
      <c r="AG24" s="4"/>
      <c r="AH24" s="4"/>
      <c r="AI24" s="4"/>
    </row>
    <row r="25">
      <c r="A25" s="14"/>
      <c r="B25" s="15" t="str">
        <f>IFERROR(__xludf.DUMMYFUNCTION("""COMPUTED_VALUE"""),"2012 Q3")</f>
        <v>2012 Q3</v>
      </c>
      <c r="C25" s="16"/>
      <c r="D25" s="16"/>
      <c r="E25" s="16"/>
      <c r="F25" s="16"/>
      <c r="G25" s="16">
        <f>IFERROR(__xludf.DUMMYFUNCTION("""COMPUTED_VALUE"""),253.0)</f>
        <v>253</v>
      </c>
      <c r="H25" s="17">
        <v>253.0</v>
      </c>
      <c r="I25" s="14"/>
      <c r="J25" s="15" t="str">
        <f>IFERROR(__xludf.DUMMYFUNCTION("""COMPUTED_VALUE"""),"2012 Q3")</f>
        <v>2012 Q3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>
        <f>IFERROR(__xludf.DUMMYFUNCTION("""COMPUTED_VALUE"""),253.0)</f>
        <v>253</v>
      </c>
      <c r="AB25" s="16"/>
      <c r="AC25" s="17">
        <v>253.0</v>
      </c>
      <c r="AD25" s="10"/>
      <c r="AE25" s="10"/>
      <c r="AF25" s="10"/>
      <c r="AG25" s="10"/>
      <c r="AH25" s="10"/>
      <c r="AI25" s="10"/>
    </row>
    <row r="26">
      <c r="A26" s="14"/>
      <c r="B26" s="15" t="str">
        <f>IFERROR(__xludf.DUMMYFUNCTION("""COMPUTED_VALUE"""),"2012 Q4")</f>
        <v>2012 Q4</v>
      </c>
      <c r="C26" s="16">
        <f>IFERROR(__xludf.DUMMYFUNCTION("""COMPUTED_VALUE"""),95.0)</f>
        <v>95</v>
      </c>
      <c r="D26" s="16"/>
      <c r="E26" s="16"/>
      <c r="F26" s="16"/>
      <c r="G26" s="16">
        <f>IFERROR(__xludf.DUMMYFUNCTION("""COMPUTED_VALUE"""),2302.0)</f>
        <v>2302</v>
      </c>
      <c r="H26" s="17">
        <v>2397.0</v>
      </c>
      <c r="I26" s="14"/>
      <c r="J26" s="15" t="str">
        <f>IFERROR(__xludf.DUMMYFUNCTION("""COMPUTED_VALUE"""),"2012 Q4")</f>
        <v>2012 Q4</v>
      </c>
      <c r="K26" s="16"/>
      <c r="L26" s="16"/>
      <c r="M26" s="16">
        <f>IFERROR(__xludf.DUMMYFUNCTION("""COMPUTED_VALUE"""),95.0)</f>
        <v>95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>
        <f>IFERROR(__xludf.DUMMYFUNCTION("""COMPUTED_VALUE"""),2302.0)</f>
        <v>2302</v>
      </c>
      <c r="AB26" s="16"/>
      <c r="AC26" s="17">
        <v>2397.0</v>
      </c>
      <c r="AD26" s="10"/>
      <c r="AE26" s="10"/>
      <c r="AF26" s="10"/>
      <c r="AG26" s="10"/>
      <c r="AH26" s="10"/>
      <c r="AI26" s="10"/>
    </row>
    <row r="27">
      <c r="A27" s="14"/>
      <c r="B27" s="15" t="str">
        <f>IFERROR(__xludf.DUMMYFUNCTION("""COMPUTED_VALUE"""),"2013 Q1")</f>
        <v>2013 Q1</v>
      </c>
      <c r="C27" s="16">
        <f>IFERROR(__xludf.DUMMYFUNCTION("""COMPUTED_VALUE"""),158.0)</f>
        <v>158</v>
      </c>
      <c r="D27" s="16"/>
      <c r="E27" s="16"/>
      <c r="F27" s="16"/>
      <c r="G27" s="16">
        <f>IFERROR(__xludf.DUMMYFUNCTION("""COMPUTED_VALUE"""),4753.0)</f>
        <v>4753</v>
      </c>
      <c r="H27" s="17">
        <v>4911.0</v>
      </c>
      <c r="I27" s="14"/>
      <c r="J27" s="15" t="str">
        <f>IFERROR(__xludf.DUMMYFUNCTION("""COMPUTED_VALUE"""),"2013 Q1")</f>
        <v>2013 Q1</v>
      </c>
      <c r="K27" s="16"/>
      <c r="L27" s="16"/>
      <c r="M27" s="16">
        <f>IFERROR(__xludf.DUMMYFUNCTION("""COMPUTED_VALUE"""),158.0)</f>
        <v>158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>
        <f>IFERROR(__xludf.DUMMYFUNCTION("""COMPUTED_VALUE"""),4753.0)</f>
        <v>4753</v>
      </c>
      <c r="AB27" s="16"/>
      <c r="AC27" s="17">
        <v>4911.0</v>
      </c>
      <c r="AD27" s="10"/>
      <c r="AE27" s="10"/>
      <c r="AF27" s="10"/>
      <c r="AG27" s="10"/>
      <c r="AH27" s="10"/>
      <c r="AI27" s="10"/>
    </row>
    <row r="28">
      <c r="A28" s="14"/>
      <c r="B28" s="15" t="str">
        <f>IFERROR(__xludf.DUMMYFUNCTION("""COMPUTED_VALUE"""),"2013 Q2")</f>
        <v>2013 Q2</v>
      </c>
      <c r="C28" s="16">
        <f>IFERROR(__xludf.DUMMYFUNCTION("""COMPUTED_VALUE"""),184.0)</f>
        <v>184</v>
      </c>
      <c r="D28" s="16"/>
      <c r="E28" s="16"/>
      <c r="F28" s="16"/>
      <c r="G28" s="16">
        <f>IFERROR(__xludf.DUMMYFUNCTION("""COMPUTED_VALUE"""),4978.0)</f>
        <v>4978</v>
      </c>
      <c r="H28" s="17">
        <v>5162.0</v>
      </c>
      <c r="I28" s="14"/>
      <c r="J28" s="15" t="str">
        <f>IFERROR(__xludf.DUMMYFUNCTION("""COMPUTED_VALUE"""),"2013 Q2")</f>
        <v>2013 Q2</v>
      </c>
      <c r="K28" s="16"/>
      <c r="L28" s="16"/>
      <c r="M28" s="16">
        <f>IFERROR(__xludf.DUMMYFUNCTION("""COMPUTED_VALUE"""),184.0)</f>
        <v>184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>
        <f>IFERROR(__xludf.DUMMYFUNCTION("""COMPUTED_VALUE"""),4978.0)</f>
        <v>4978</v>
      </c>
      <c r="AB28" s="16"/>
      <c r="AC28" s="17">
        <v>5162.0</v>
      </c>
      <c r="AD28" s="10"/>
      <c r="AE28" s="10"/>
      <c r="AF28" s="10"/>
      <c r="AG28" s="10"/>
      <c r="AH28" s="10"/>
      <c r="AI28" s="10"/>
    </row>
    <row r="29">
      <c r="A29" s="14"/>
      <c r="B29" s="15" t="str">
        <f>IFERROR(__xludf.DUMMYFUNCTION("""COMPUTED_VALUE"""),"2013 Q3")</f>
        <v>2013 Q3</v>
      </c>
      <c r="C29" s="16">
        <f>IFERROR(__xludf.DUMMYFUNCTION("""COMPUTED_VALUE"""),162.0)</f>
        <v>162</v>
      </c>
      <c r="D29" s="16"/>
      <c r="E29" s="16">
        <f>IFERROR(__xludf.DUMMYFUNCTION("""COMPUTED_VALUE"""),1224.0)</f>
        <v>1224</v>
      </c>
      <c r="F29" s="16"/>
      <c r="G29" s="16">
        <f>IFERROR(__xludf.DUMMYFUNCTION("""COMPUTED_VALUE"""),4126.0)</f>
        <v>4126</v>
      </c>
      <c r="H29" s="17">
        <v>5512.0</v>
      </c>
      <c r="I29" s="14"/>
      <c r="J29" s="15" t="str">
        <f>IFERROR(__xludf.DUMMYFUNCTION("""COMPUTED_VALUE"""),"2013 Q3")</f>
        <v>2013 Q3</v>
      </c>
      <c r="K29" s="16"/>
      <c r="L29" s="16"/>
      <c r="M29" s="16">
        <f>IFERROR(__xludf.DUMMYFUNCTION("""COMPUTED_VALUE"""),162.0)</f>
        <v>162</v>
      </c>
      <c r="N29" s="16"/>
      <c r="O29" s="16"/>
      <c r="P29" s="16"/>
      <c r="Q29" s="16"/>
      <c r="R29" s="16"/>
      <c r="S29" s="16">
        <f>IFERROR(__xludf.DUMMYFUNCTION("""COMPUTED_VALUE"""),1224.0)</f>
        <v>1224</v>
      </c>
      <c r="T29" s="16"/>
      <c r="U29" s="16"/>
      <c r="V29" s="16"/>
      <c r="W29" s="16"/>
      <c r="X29" s="16"/>
      <c r="Y29" s="16"/>
      <c r="Z29" s="16"/>
      <c r="AA29" s="16">
        <f>IFERROR(__xludf.DUMMYFUNCTION("""COMPUTED_VALUE"""),4126.0)</f>
        <v>4126</v>
      </c>
      <c r="AB29" s="16"/>
      <c r="AC29" s="17">
        <v>5512.0</v>
      </c>
      <c r="AD29" s="10"/>
      <c r="AE29" s="10"/>
      <c r="AF29" s="10"/>
      <c r="AG29" s="10"/>
      <c r="AH29" s="10"/>
      <c r="AI29" s="10"/>
    </row>
    <row r="30">
      <c r="A30" s="14"/>
      <c r="B30" s="15" t="str">
        <f>IFERROR(__xludf.DUMMYFUNCTION("""COMPUTED_VALUE"""),"2013 Q4")</f>
        <v>2013 Q4</v>
      </c>
      <c r="C30" s="16">
        <f>IFERROR(__xludf.DUMMYFUNCTION("""COMPUTED_VALUE"""),134.0)</f>
        <v>134</v>
      </c>
      <c r="D30" s="16"/>
      <c r="E30" s="16">
        <f>IFERROR(__xludf.DUMMYFUNCTION("""COMPUTED_VALUE"""),2669.0)</f>
        <v>2669</v>
      </c>
      <c r="F30" s="16"/>
      <c r="G30" s="16">
        <f>IFERROR(__xludf.DUMMYFUNCTION("""COMPUTED_VALUE"""),4089.0)</f>
        <v>4089</v>
      </c>
      <c r="H30" s="17">
        <v>6892.0</v>
      </c>
      <c r="I30" s="14"/>
      <c r="J30" s="15" t="str">
        <f>IFERROR(__xludf.DUMMYFUNCTION("""COMPUTED_VALUE"""),"2013 Q4")</f>
        <v>2013 Q4</v>
      </c>
      <c r="K30" s="16"/>
      <c r="L30" s="16"/>
      <c r="M30" s="16">
        <f>IFERROR(__xludf.DUMMYFUNCTION("""COMPUTED_VALUE"""),134.0)</f>
        <v>134</v>
      </c>
      <c r="N30" s="16"/>
      <c r="O30" s="16"/>
      <c r="P30" s="16"/>
      <c r="Q30" s="16"/>
      <c r="R30" s="16"/>
      <c r="S30" s="16">
        <f>IFERROR(__xludf.DUMMYFUNCTION("""COMPUTED_VALUE"""),2669.0)</f>
        <v>2669</v>
      </c>
      <c r="T30" s="16"/>
      <c r="U30" s="16"/>
      <c r="V30" s="16"/>
      <c r="W30" s="16"/>
      <c r="X30" s="16"/>
      <c r="Y30" s="16"/>
      <c r="Z30" s="16"/>
      <c r="AA30" s="16">
        <f>IFERROR(__xludf.DUMMYFUNCTION("""COMPUTED_VALUE"""),4089.0)</f>
        <v>4089</v>
      </c>
      <c r="AB30" s="16"/>
      <c r="AC30" s="17">
        <v>6892.0</v>
      </c>
      <c r="AD30" s="10"/>
      <c r="AE30" s="10"/>
      <c r="AF30" s="10"/>
      <c r="AG30" s="10"/>
      <c r="AH30" s="10"/>
      <c r="AI30" s="10"/>
    </row>
    <row r="31">
      <c r="A31" s="14"/>
      <c r="B31" s="15" t="str">
        <f>IFERROR(__xludf.DUMMYFUNCTION("""COMPUTED_VALUE"""),"2014 Q1")</f>
        <v>2014 Q1</v>
      </c>
      <c r="C31" s="16">
        <f>IFERROR(__xludf.DUMMYFUNCTION("""COMPUTED_VALUE"""),158.0)</f>
        <v>158</v>
      </c>
      <c r="D31" s="16">
        <f>IFERROR(__xludf.DUMMYFUNCTION("""COMPUTED_VALUE"""),3.0)</f>
        <v>3</v>
      </c>
      <c r="E31" s="16">
        <f>IFERROR(__xludf.DUMMYFUNCTION("""COMPUTED_VALUE"""),3073.0)</f>
        <v>3073</v>
      </c>
      <c r="F31" s="16"/>
      <c r="G31" s="16">
        <f>IFERROR(__xludf.DUMMYFUNCTION("""COMPUTED_VALUE"""),3223.0)</f>
        <v>3223</v>
      </c>
      <c r="H31" s="17">
        <v>6457.0</v>
      </c>
      <c r="I31" s="14"/>
      <c r="J31" s="15" t="str">
        <f>IFERROR(__xludf.DUMMYFUNCTION("""COMPUTED_VALUE"""),"2014 Q1")</f>
        <v>2014 Q1</v>
      </c>
      <c r="K31" s="16"/>
      <c r="L31" s="16"/>
      <c r="M31" s="16">
        <f>IFERROR(__xludf.DUMMYFUNCTION("""COMPUTED_VALUE"""),158.0)</f>
        <v>158</v>
      </c>
      <c r="N31" s="16"/>
      <c r="O31" s="16"/>
      <c r="P31" s="16">
        <f>IFERROR(__xludf.DUMMYFUNCTION("""COMPUTED_VALUE"""),3.0)</f>
        <v>3</v>
      </c>
      <c r="Q31" s="16"/>
      <c r="R31" s="16"/>
      <c r="S31" s="16">
        <f>IFERROR(__xludf.DUMMYFUNCTION("""COMPUTED_VALUE"""),3073.0)</f>
        <v>3073</v>
      </c>
      <c r="T31" s="16"/>
      <c r="U31" s="16"/>
      <c r="V31" s="16"/>
      <c r="W31" s="16"/>
      <c r="X31" s="16"/>
      <c r="Y31" s="16"/>
      <c r="Z31" s="16"/>
      <c r="AA31" s="16">
        <f>IFERROR(__xludf.DUMMYFUNCTION("""COMPUTED_VALUE"""),3223.0)</f>
        <v>3223</v>
      </c>
      <c r="AB31" s="16"/>
      <c r="AC31" s="17">
        <v>6457.0</v>
      </c>
      <c r="AD31" s="10"/>
      <c r="AE31" s="10"/>
      <c r="AF31" s="10"/>
      <c r="AG31" s="10"/>
      <c r="AH31" s="10"/>
      <c r="AI31" s="10"/>
    </row>
    <row r="32">
      <c r="A32" s="14"/>
      <c r="B32" s="15" t="str">
        <f>IFERROR(__xludf.DUMMYFUNCTION("""COMPUTED_VALUE"""),"2014 Q2")</f>
        <v>2014 Q2</v>
      </c>
      <c r="C32" s="16">
        <f>IFERROR(__xludf.DUMMYFUNCTION("""COMPUTED_VALUE"""),186.0)</f>
        <v>186</v>
      </c>
      <c r="D32" s="16">
        <f>IFERROR(__xludf.DUMMYFUNCTION("""COMPUTED_VALUE"""),1543.0)</f>
        <v>1543</v>
      </c>
      <c r="E32" s="16">
        <f>IFERROR(__xludf.DUMMYFUNCTION("""COMPUTED_VALUE"""),2519.0)</f>
        <v>2519</v>
      </c>
      <c r="F32" s="16"/>
      <c r="G32" s="16">
        <f>IFERROR(__xludf.DUMMYFUNCTION("""COMPUTED_VALUE"""),3331.0)</f>
        <v>3331</v>
      </c>
      <c r="H32" s="17">
        <v>7579.0</v>
      </c>
      <c r="I32" s="14"/>
      <c r="J32" s="15" t="str">
        <f>IFERROR(__xludf.DUMMYFUNCTION("""COMPUTED_VALUE"""),"2014 Q2")</f>
        <v>2014 Q2</v>
      </c>
      <c r="K32" s="16"/>
      <c r="L32" s="16"/>
      <c r="M32" s="16">
        <f>IFERROR(__xludf.DUMMYFUNCTION("""COMPUTED_VALUE"""),186.0)</f>
        <v>186</v>
      </c>
      <c r="N32" s="16"/>
      <c r="O32" s="16"/>
      <c r="P32" s="16">
        <f>IFERROR(__xludf.DUMMYFUNCTION("""COMPUTED_VALUE"""),1543.0)</f>
        <v>1543</v>
      </c>
      <c r="Q32" s="16"/>
      <c r="R32" s="16"/>
      <c r="S32" s="16">
        <f>IFERROR(__xludf.DUMMYFUNCTION("""COMPUTED_VALUE"""),2519.0)</f>
        <v>2519</v>
      </c>
      <c r="T32" s="16"/>
      <c r="U32" s="16"/>
      <c r="V32" s="16"/>
      <c r="W32" s="16"/>
      <c r="X32" s="16"/>
      <c r="Y32" s="16"/>
      <c r="Z32" s="16"/>
      <c r="AA32" s="16">
        <f>IFERROR(__xludf.DUMMYFUNCTION("""COMPUTED_VALUE"""),3331.0)</f>
        <v>3331</v>
      </c>
      <c r="AB32" s="16"/>
      <c r="AC32" s="17">
        <v>7579.0</v>
      </c>
      <c r="AD32" s="10"/>
      <c r="AE32" s="10"/>
      <c r="AF32" s="10"/>
      <c r="AG32" s="10"/>
      <c r="AH32" s="10"/>
      <c r="AI32" s="10"/>
    </row>
    <row r="33">
      <c r="A33" s="14"/>
      <c r="B33" s="15" t="str">
        <f>IFERROR(__xludf.DUMMYFUNCTION("""COMPUTED_VALUE"""),"2014 Q3")</f>
        <v>2014 Q3</v>
      </c>
      <c r="C33" s="16">
        <f>IFERROR(__xludf.DUMMYFUNCTION("""COMPUTED_VALUE"""),230.0)</f>
        <v>230</v>
      </c>
      <c r="D33" s="16">
        <f>IFERROR(__xludf.DUMMYFUNCTION("""COMPUTED_VALUE"""),1026.0)</f>
        <v>1026</v>
      </c>
      <c r="E33" s="16">
        <f>IFERROR(__xludf.DUMMYFUNCTION("""COMPUTED_VALUE"""),1653.0)</f>
        <v>1653</v>
      </c>
      <c r="F33" s="16">
        <f>IFERROR(__xludf.DUMMYFUNCTION("""COMPUTED_VALUE"""),162.0)</f>
        <v>162</v>
      </c>
      <c r="G33" s="16">
        <f>IFERROR(__xludf.DUMMYFUNCTION("""COMPUTED_VALUE"""),4714.0)</f>
        <v>4714</v>
      </c>
      <c r="H33" s="17">
        <v>7785.0</v>
      </c>
      <c r="I33" s="14"/>
      <c r="J33" s="15" t="str">
        <f>IFERROR(__xludf.DUMMYFUNCTION("""COMPUTED_VALUE"""),"2014 Q3")</f>
        <v>2014 Q3</v>
      </c>
      <c r="K33" s="16"/>
      <c r="L33" s="16"/>
      <c r="M33" s="16">
        <f>IFERROR(__xludf.DUMMYFUNCTION("""COMPUTED_VALUE"""),230.0)</f>
        <v>230</v>
      </c>
      <c r="N33" s="16"/>
      <c r="O33" s="16"/>
      <c r="P33" s="16">
        <f>IFERROR(__xludf.DUMMYFUNCTION("""COMPUTED_VALUE"""),1026.0)</f>
        <v>1026</v>
      </c>
      <c r="Q33" s="16"/>
      <c r="R33" s="16"/>
      <c r="S33" s="16">
        <f>IFERROR(__xludf.DUMMYFUNCTION("""COMPUTED_VALUE"""),1653.0)</f>
        <v>1653</v>
      </c>
      <c r="T33" s="16"/>
      <c r="U33" s="16"/>
      <c r="V33" s="16"/>
      <c r="W33" s="16">
        <f>IFERROR(__xludf.DUMMYFUNCTION("""COMPUTED_VALUE"""),162.0)</f>
        <v>162</v>
      </c>
      <c r="X33" s="16"/>
      <c r="Y33" s="16"/>
      <c r="Z33" s="16"/>
      <c r="AA33" s="16">
        <f>IFERROR(__xludf.DUMMYFUNCTION("""COMPUTED_VALUE"""),4714.0)</f>
        <v>4714</v>
      </c>
      <c r="AB33" s="16"/>
      <c r="AC33" s="17">
        <v>7785.0</v>
      </c>
      <c r="AD33" s="10"/>
      <c r="AE33" s="10"/>
      <c r="AF33" s="10"/>
      <c r="AG33" s="10"/>
      <c r="AH33" s="10"/>
      <c r="AI33" s="10"/>
    </row>
    <row r="34">
      <c r="A34" s="14"/>
      <c r="B34" s="15" t="str">
        <f>IFERROR(__xludf.DUMMYFUNCTION("""COMPUTED_VALUE"""),"2014 Q4")</f>
        <v>2014 Q4</v>
      </c>
      <c r="C34" s="16">
        <f>IFERROR(__xludf.DUMMYFUNCTION("""COMPUTED_VALUE"""),210.0)</f>
        <v>210</v>
      </c>
      <c r="D34" s="16">
        <f>IFERROR(__xludf.DUMMYFUNCTION("""COMPUTED_VALUE"""),1550.0)</f>
        <v>1550</v>
      </c>
      <c r="E34" s="16">
        <f>IFERROR(__xludf.DUMMYFUNCTION("""COMPUTED_VALUE"""),2276.0)</f>
        <v>2276</v>
      </c>
      <c r="F34" s="16">
        <f>IFERROR(__xludf.DUMMYFUNCTION("""COMPUTED_VALUE"""),377.0)</f>
        <v>377</v>
      </c>
      <c r="G34" s="16">
        <f>IFERROR(__xludf.DUMMYFUNCTION("""COMPUTED_VALUE"""),5421.0)</f>
        <v>5421</v>
      </c>
      <c r="H34" s="17">
        <v>9834.0</v>
      </c>
      <c r="I34" s="14"/>
      <c r="J34" s="15" t="str">
        <f>IFERROR(__xludf.DUMMYFUNCTION("""COMPUTED_VALUE"""),"2014 Q4")</f>
        <v>2014 Q4</v>
      </c>
      <c r="K34" s="16"/>
      <c r="L34" s="16"/>
      <c r="M34" s="16">
        <f>IFERROR(__xludf.DUMMYFUNCTION("""COMPUTED_VALUE"""),210.0)</f>
        <v>210</v>
      </c>
      <c r="N34" s="16"/>
      <c r="O34" s="16"/>
      <c r="P34" s="16">
        <f>IFERROR(__xludf.DUMMYFUNCTION("""COMPUTED_VALUE"""),1550.0)</f>
        <v>1550</v>
      </c>
      <c r="Q34" s="16"/>
      <c r="R34" s="16"/>
      <c r="S34" s="16">
        <f>IFERROR(__xludf.DUMMYFUNCTION("""COMPUTED_VALUE"""),2276.0)</f>
        <v>2276</v>
      </c>
      <c r="T34" s="16"/>
      <c r="U34" s="16"/>
      <c r="V34" s="16"/>
      <c r="W34" s="16">
        <f>IFERROR(__xludf.DUMMYFUNCTION("""COMPUTED_VALUE"""),377.0)</f>
        <v>377</v>
      </c>
      <c r="X34" s="16"/>
      <c r="Y34" s="16"/>
      <c r="Z34" s="16"/>
      <c r="AA34" s="16">
        <f>IFERROR(__xludf.DUMMYFUNCTION("""COMPUTED_VALUE"""),5421.0)</f>
        <v>5421</v>
      </c>
      <c r="AB34" s="16"/>
      <c r="AC34" s="17">
        <v>9834.0</v>
      </c>
      <c r="AD34" s="10"/>
      <c r="AE34" s="10"/>
      <c r="AF34" s="10"/>
      <c r="AG34" s="10"/>
      <c r="AH34" s="10"/>
      <c r="AI34" s="10"/>
    </row>
    <row r="35">
      <c r="A35" s="14"/>
      <c r="B35" s="15" t="str">
        <f>IFERROR(__xludf.DUMMYFUNCTION("""COMPUTED_VALUE"""),"2015 Q1")</f>
        <v>2015 Q1</v>
      </c>
      <c r="C35" s="16">
        <f>IFERROR(__xludf.DUMMYFUNCTION("""COMPUTED_VALUE"""),290.0)</f>
        <v>290</v>
      </c>
      <c r="D35" s="16">
        <f>IFERROR(__xludf.DUMMYFUNCTION("""COMPUTED_VALUE"""),1055.0)</f>
        <v>1055</v>
      </c>
      <c r="E35" s="16">
        <f>IFERROR(__xludf.DUMMYFUNCTION("""COMPUTED_VALUE"""),3465.0)</f>
        <v>3465</v>
      </c>
      <c r="F35" s="16">
        <f>IFERROR(__xludf.DUMMYFUNCTION("""COMPUTED_VALUE"""),610.0)</f>
        <v>610</v>
      </c>
      <c r="G35" s="16">
        <f>IFERROR(__xludf.DUMMYFUNCTION("""COMPUTED_VALUE"""),4625.0)</f>
        <v>4625</v>
      </c>
      <c r="H35" s="17">
        <v>10045.0</v>
      </c>
      <c r="I35" s="14"/>
      <c r="J35" s="15" t="str">
        <f>IFERROR(__xludf.DUMMYFUNCTION("""COMPUTED_VALUE"""),"2015 Q1")</f>
        <v>2015 Q1</v>
      </c>
      <c r="K35" s="16"/>
      <c r="L35" s="16"/>
      <c r="M35" s="16">
        <f>IFERROR(__xludf.DUMMYFUNCTION("""COMPUTED_VALUE"""),290.0)</f>
        <v>290</v>
      </c>
      <c r="N35" s="16"/>
      <c r="O35" s="16"/>
      <c r="P35" s="16">
        <f>IFERROR(__xludf.DUMMYFUNCTION("""COMPUTED_VALUE"""),1055.0)</f>
        <v>1055</v>
      </c>
      <c r="Q35" s="16"/>
      <c r="R35" s="16"/>
      <c r="S35" s="16">
        <f>IFERROR(__xludf.DUMMYFUNCTION("""COMPUTED_VALUE"""),3465.0)</f>
        <v>3465</v>
      </c>
      <c r="T35" s="16"/>
      <c r="U35" s="16"/>
      <c r="V35" s="16"/>
      <c r="W35" s="16">
        <f>IFERROR(__xludf.DUMMYFUNCTION("""COMPUTED_VALUE"""),610.0)</f>
        <v>610</v>
      </c>
      <c r="X35" s="16"/>
      <c r="Y35" s="16"/>
      <c r="Z35" s="16"/>
      <c r="AA35" s="16">
        <f>IFERROR(__xludf.DUMMYFUNCTION("""COMPUTED_VALUE"""),4625.0)</f>
        <v>4625</v>
      </c>
      <c r="AB35" s="16"/>
      <c r="AC35" s="17">
        <v>10045.0</v>
      </c>
      <c r="AD35" s="10"/>
      <c r="AE35" s="10"/>
      <c r="AF35" s="10"/>
      <c r="AG35" s="10"/>
      <c r="AH35" s="10"/>
      <c r="AI35" s="10"/>
    </row>
    <row r="36">
      <c r="A36" s="14"/>
      <c r="B36" s="15" t="str">
        <f>IFERROR(__xludf.DUMMYFUNCTION("""COMPUTED_VALUE"""),"2015 Q2")</f>
        <v>2015 Q2</v>
      </c>
      <c r="C36" s="16">
        <f>IFERROR(__xludf.DUMMYFUNCTION("""COMPUTED_VALUE"""),382.0)</f>
        <v>382</v>
      </c>
      <c r="D36" s="16">
        <f>IFERROR(__xludf.DUMMYFUNCTION("""COMPUTED_VALUE"""),737.0)</f>
        <v>737</v>
      </c>
      <c r="E36" s="16">
        <f>IFERROR(__xludf.DUMMYFUNCTION("""COMPUTED_VALUE"""),3891.0)</f>
        <v>3891</v>
      </c>
      <c r="F36" s="16">
        <f>IFERROR(__xludf.DUMMYFUNCTION("""COMPUTED_VALUE"""),499.0)</f>
        <v>499</v>
      </c>
      <c r="G36" s="16">
        <f>IFERROR(__xludf.DUMMYFUNCTION("""COMPUTED_VALUE"""),6023.0)</f>
        <v>6023</v>
      </c>
      <c r="H36" s="17">
        <v>11532.0</v>
      </c>
      <c r="I36" s="14"/>
      <c r="J36" s="15" t="str">
        <f>IFERROR(__xludf.DUMMYFUNCTION("""COMPUTED_VALUE"""),"2015 Q2")</f>
        <v>2015 Q2</v>
      </c>
      <c r="K36" s="16"/>
      <c r="L36" s="16"/>
      <c r="M36" s="16">
        <f>IFERROR(__xludf.DUMMYFUNCTION("""COMPUTED_VALUE"""),382.0)</f>
        <v>382</v>
      </c>
      <c r="N36" s="16"/>
      <c r="O36" s="16"/>
      <c r="P36" s="16">
        <f>IFERROR(__xludf.DUMMYFUNCTION("""COMPUTED_VALUE"""),737.0)</f>
        <v>737</v>
      </c>
      <c r="Q36" s="16"/>
      <c r="R36" s="16"/>
      <c r="S36" s="16">
        <f>IFERROR(__xludf.DUMMYFUNCTION("""COMPUTED_VALUE"""),3891.0)</f>
        <v>3891</v>
      </c>
      <c r="T36" s="16"/>
      <c r="U36" s="16"/>
      <c r="V36" s="16"/>
      <c r="W36" s="16">
        <f>IFERROR(__xludf.DUMMYFUNCTION("""COMPUTED_VALUE"""),499.0)</f>
        <v>499</v>
      </c>
      <c r="X36" s="16"/>
      <c r="Y36" s="16"/>
      <c r="Z36" s="16"/>
      <c r="AA36" s="16">
        <f>IFERROR(__xludf.DUMMYFUNCTION("""COMPUTED_VALUE"""),6023.0)</f>
        <v>6023</v>
      </c>
      <c r="AB36" s="16"/>
      <c r="AC36" s="17">
        <v>11532.0</v>
      </c>
      <c r="AD36" s="10"/>
      <c r="AE36" s="10"/>
      <c r="AF36" s="10"/>
      <c r="AG36" s="10"/>
      <c r="AH36" s="10"/>
      <c r="AI36" s="10"/>
    </row>
    <row r="37">
      <c r="A37" s="14"/>
      <c r="B37" s="15" t="str">
        <f>IFERROR(__xludf.DUMMYFUNCTION("""COMPUTED_VALUE"""),"2015 Q3")</f>
        <v>2015 Q3</v>
      </c>
      <c r="C37" s="16">
        <f>IFERROR(__xludf.DUMMYFUNCTION("""COMPUTED_VALUE"""),386.0)</f>
        <v>386</v>
      </c>
      <c r="D37" s="16">
        <f>IFERROR(__xludf.DUMMYFUNCTION("""COMPUTED_VALUE"""),842.0)</f>
        <v>842</v>
      </c>
      <c r="E37" s="16">
        <f>IFERROR(__xludf.DUMMYFUNCTION("""COMPUTED_VALUE"""),3520.0)</f>
        <v>3520</v>
      </c>
      <c r="F37" s="16">
        <f>IFERROR(__xludf.DUMMYFUNCTION("""COMPUTED_VALUE"""),793.0)</f>
        <v>793</v>
      </c>
      <c r="G37" s="16">
        <f>IFERROR(__xludf.DUMMYFUNCTION("""COMPUTED_VALUE"""),6062.0)</f>
        <v>6062</v>
      </c>
      <c r="H37" s="17">
        <v>11603.0</v>
      </c>
      <c r="I37" s="14"/>
      <c r="J37" s="15" t="str">
        <f>IFERROR(__xludf.DUMMYFUNCTION("""COMPUTED_VALUE"""),"2015 Q3")</f>
        <v>2015 Q3</v>
      </c>
      <c r="K37" s="16"/>
      <c r="L37" s="16"/>
      <c r="M37" s="16">
        <f>IFERROR(__xludf.DUMMYFUNCTION("""COMPUTED_VALUE"""),386.0)</f>
        <v>386</v>
      </c>
      <c r="N37" s="16"/>
      <c r="O37" s="16"/>
      <c r="P37" s="16">
        <f>IFERROR(__xludf.DUMMYFUNCTION("""COMPUTED_VALUE"""),842.0)</f>
        <v>842</v>
      </c>
      <c r="Q37" s="16"/>
      <c r="R37" s="16"/>
      <c r="S37" s="16">
        <f>IFERROR(__xludf.DUMMYFUNCTION("""COMPUTED_VALUE"""),3520.0)</f>
        <v>3520</v>
      </c>
      <c r="T37" s="16"/>
      <c r="U37" s="16"/>
      <c r="V37" s="16"/>
      <c r="W37" s="16">
        <f>IFERROR(__xludf.DUMMYFUNCTION("""COMPUTED_VALUE"""),793.0)</f>
        <v>793</v>
      </c>
      <c r="X37" s="16"/>
      <c r="Y37" s="16"/>
      <c r="Z37" s="16"/>
      <c r="AA37" s="16">
        <f>IFERROR(__xludf.DUMMYFUNCTION("""COMPUTED_VALUE"""),6062.0)</f>
        <v>6062</v>
      </c>
      <c r="AB37" s="16"/>
      <c r="AC37" s="17">
        <v>11603.0</v>
      </c>
      <c r="AD37" s="10"/>
      <c r="AE37" s="10"/>
      <c r="AF37" s="10"/>
      <c r="AG37" s="10"/>
      <c r="AH37" s="10"/>
      <c r="AI37" s="10"/>
    </row>
    <row r="38">
      <c r="A38" s="14"/>
      <c r="B38" s="15" t="str">
        <f>IFERROR(__xludf.DUMMYFUNCTION("""COMPUTED_VALUE"""),"2015 Q4")</f>
        <v>2015 Q4</v>
      </c>
      <c r="C38" s="16">
        <f>IFERROR(__xludf.DUMMYFUNCTION("""COMPUTED_VALUE"""),542.0)</f>
        <v>542</v>
      </c>
      <c r="D38" s="16">
        <f>IFERROR(__xludf.DUMMYFUNCTION("""COMPUTED_VALUE"""),1058.0)</f>
        <v>1058</v>
      </c>
      <c r="E38" s="16">
        <f>IFERROR(__xludf.DUMMYFUNCTION("""COMPUTED_VALUE"""),5825.0)</f>
        <v>5825</v>
      </c>
      <c r="F38" s="16">
        <f>IFERROR(__xludf.DUMMYFUNCTION("""COMPUTED_VALUE"""),1561.0)</f>
        <v>1561</v>
      </c>
      <c r="G38" s="16">
        <f>IFERROR(__xludf.DUMMYFUNCTION("""COMPUTED_VALUE"""),8492.0)</f>
        <v>8492</v>
      </c>
      <c r="H38" s="17">
        <v>17478.0</v>
      </c>
      <c r="I38" s="14"/>
      <c r="J38" s="15" t="str">
        <f>IFERROR(__xludf.DUMMYFUNCTION("""COMPUTED_VALUE"""),"2015 Q4")</f>
        <v>2015 Q4</v>
      </c>
      <c r="K38" s="16"/>
      <c r="L38" s="16"/>
      <c r="M38" s="16">
        <f>IFERROR(__xludf.DUMMYFUNCTION("""COMPUTED_VALUE"""),542.0)</f>
        <v>542</v>
      </c>
      <c r="N38" s="16"/>
      <c r="O38" s="16"/>
      <c r="P38" s="16">
        <f>IFERROR(__xludf.DUMMYFUNCTION("""COMPUTED_VALUE"""),1058.0)</f>
        <v>1058</v>
      </c>
      <c r="Q38" s="16"/>
      <c r="R38" s="16"/>
      <c r="S38" s="16">
        <f>IFERROR(__xludf.DUMMYFUNCTION("""COMPUTED_VALUE"""),5825.0)</f>
        <v>5825</v>
      </c>
      <c r="T38" s="16"/>
      <c r="U38" s="16"/>
      <c r="V38" s="16"/>
      <c r="W38" s="16">
        <f>IFERROR(__xludf.DUMMYFUNCTION("""COMPUTED_VALUE"""),1561.0)</f>
        <v>1561</v>
      </c>
      <c r="X38" s="16"/>
      <c r="Y38" s="16"/>
      <c r="Z38" s="16"/>
      <c r="AA38" s="16">
        <f>IFERROR(__xludf.DUMMYFUNCTION("""COMPUTED_VALUE"""),8492.0)</f>
        <v>8492</v>
      </c>
      <c r="AB38" s="16"/>
      <c r="AC38" s="17">
        <v>17478.0</v>
      </c>
      <c r="AD38" s="10"/>
      <c r="AE38" s="10"/>
      <c r="AF38" s="10"/>
      <c r="AG38" s="10"/>
      <c r="AH38" s="10"/>
      <c r="AI38" s="10"/>
    </row>
    <row r="39">
      <c r="A39" s="14"/>
      <c r="B39" s="15" t="str">
        <f>IFERROR(__xludf.DUMMYFUNCTION("""COMPUTED_VALUE"""),"2016 Q1")</f>
        <v>2016 Q1</v>
      </c>
      <c r="C39" s="16">
        <f>IFERROR(__xludf.DUMMYFUNCTION("""COMPUTED_VALUE"""),398.0)</f>
        <v>398</v>
      </c>
      <c r="D39" s="16">
        <f>IFERROR(__xludf.DUMMYFUNCTION("""COMPUTED_VALUE"""),1361.0)</f>
        <v>1361</v>
      </c>
      <c r="E39" s="16">
        <f>IFERROR(__xludf.DUMMYFUNCTION("""COMPUTED_VALUE"""),3849.0)</f>
        <v>3849</v>
      </c>
      <c r="F39" s="16">
        <f>IFERROR(__xludf.DUMMYFUNCTION("""COMPUTED_VALUE"""),1150.0)</f>
        <v>1150</v>
      </c>
      <c r="G39" s="16">
        <f>IFERROR(__xludf.DUMMYFUNCTION("""COMPUTED_VALUE"""),8052.0)</f>
        <v>8052</v>
      </c>
      <c r="H39" s="17">
        <v>14810.0</v>
      </c>
      <c r="I39" s="14"/>
      <c r="J39" s="15" t="str">
        <f>IFERROR(__xludf.DUMMYFUNCTION("""COMPUTED_VALUE"""),"2016 Q1")</f>
        <v>2016 Q1</v>
      </c>
      <c r="K39" s="16"/>
      <c r="L39" s="16"/>
      <c r="M39" s="16">
        <f>IFERROR(__xludf.DUMMYFUNCTION("""COMPUTED_VALUE"""),398.0)</f>
        <v>398</v>
      </c>
      <c r="N39" s="16"/>
      <c r="O39" s="16"/>
      <c r="P39" s="16">
        <f>IFERROR(__xludf.DUMMYFUNCTION("""COMPUTED_VALUE"""),1361.0)</f>
        <v>1361</v>
      </c>
      <c r="Q39" s="16"/>
      <c r="R39" s="16"/>
      <c r="S39" s="16">
        <f>IFERROR(__xludf.DUMMYFUNCTION("""COMPUTED_VALUE"""),3849.0)</f>
        <v>3849</v>
      </c>
      <c r="T39" s="16"/>
      <c r="U39" s="16"/>
      <c r="V39" s="16"/>
      <c r="W39" s="16">
        <f>IFERROR(__xludf.DUMMYFUNCTION("""COMPUTED_VALUE"""),1150.0)</f>
        <v>1150</v>
      </c>
      <c r="X39" s="16"/>
      <c r="Y39" s="16"/>
      <c r="Z39" s="16"/>
      <c r="AA39" s="16">
        <f>IFERROR(__xludf.DUMMYFUNCTION("""COMPUTED_VALUE"""),8052.0)</f>
        <v>8052</v>
      </c>
      <c r="AB39" s="16"/>
      <c r="AC39" s="17">
        <v>14810.0</v>
      </c>
      <c r="AD39" s="10"/>
      <c r="AE39" s="10"/>
      <c r="AF39" s="10"/>
      <c r="AG39" s="10"/>
      <c r="AH39" s="10"/>
      <c r="AI39" s="10"/>
    </row>
    <row r="40">
      <c r="A40" s="14"/>
      <c r="B40" s="15" t="str">
        <f>IFERROR(__xludf.DUMMYFUNCTION("""COMPUTED_VALUE"""),"2016 Q2")</f>
        <v>2016 Q2</v>
      </c>
      <c r="C40" s="16">
        <f>IFERROR(__xludf.DUMMYFUNCTION("""COMPUTED_VALUE"""),465.0)</f>
        <v>465</v>
      </c>
      <c r="D40" s="16">
        <f>IFERROR(__xludf.DUMMYFUNCTION("""COMPUTED_VALUE"""),782.0)</f>
        <v>782</v>
      </c>
      <c r="E40" s="16">
        <f>IFERROR(__xludf.DUMMYFUNCTION("""COMPUTED_VALUE"""),2980.0)</f>
        <v>2980</v>
      </c>
      <c r="F40" s="16">
        <f>IFERROR(__xludf.DUMMYFUNCTION("""COMPUTED_VALUE"""),564.0)</f>
        <v>564</v>
      </c>
      <c r="G40" s="16">
        <f>IFERROR(__xludf.DUMMYFUNCTION("""COMPUTED_VALUE"""),9611.0)</f>
        <v>9611</v>
      </c>
      <c r="H40" s="17">
        <v>14402.0</v>
      </c>
      <c r="I40" s="14"/>
      <c r="J40" s="15" t="str">
        <f>IFERROR(__xludf.DUMMYFUNCTION("""COMPUTED_VALUE"""),"2016 Q2")</f>
        <v>2016 Q2</v>
      </c>
      <c r="K40" s="16"/>
      <c r="L40" s="16"/>
      <c r="M40" s="16">
        <f>IFERROR(__xludf.DUMMYFUNCTION("""COMPUTED_VALUE"""),465.0)</f>
        <v>465</v>
      </c>
      <c r="N40" s="16"/>
      <c r="O40" s="16"/>
      <c r="P40" s="16">
        <f>IFERROR(__xludf.DUMMYFUNCTION("""COMPUTED_VALUE"""),782.0)</f>
        <v>782</v>
      </c>
      <c r="Q40" s="16"/>
      <c r="R40" s="16"/>
      <c r="S40" s="16">
        <f>IFERROR(__xludf.DUMMYFUNCTION("""COMPUTED_VALUE"""),2980.0)</f>
        <v>2980</v>
      </c>
      <c r="T40" s="16"/>
      <c r="U40" s="16"/>
      <c r="V40" s="16"/>
      <c r="W40" s="16">
        <f>IFERROR(__xludf.DUMMYFUNCTION("""COMPUTED_VALUE"""),564.0)</f>
        <v>564</v>
      </c>
      <c r="X40" s="16"/>
      <c r="Y40" s="16"/>
      <c r="Z40" s="16"/>
      <c r="AA40" s="16">
        <f>IFERROR(__xludf.DUMMYFUNCTION("""COMPUTED_VALUE"""),9611.0)</f>
        <v>9611</v>
      </c>
      <c r="AB40" s="16"/>
      <c r="AC40" s="17">
        <v>14402.0</v>
      </c>
      <c r="AD40" s="10"/>
      <c r="AE40" s="10"/>
      <c r="AF40" s="10"/>
      <c r="AG40" s="10"/>
      <c r="AH40" s="10"/>
      <c r="AI40" s="10"/>
    </row>
    <row r="41">
      <c r="A41" s="14"/>
      <c r="B41" s="15" t="str">
        <f>IFERROR(__xludf.DUMMYFUNCTION("""COMPUTED_VALUE"""),"2016 Q3")</f>
        <v>2016 Q3</v>
      </c>
      <c r="C41" s="16">
        <f>IFERROR(__xludf.DUMMYFUNCTION("""COMPUTED_VALUE"""),743.0)</f>
        <v>743</v>
      </c>
      <c r="D41" s="16">
        <f>IFERROR(__xludf.DUMMYFUNCTION("""COMPUTED_VALUE"""),3324.0)</f>
        <v>3324</v>
      </c>
      <c r="E41" s="16">
        <f>IFERROR(__xludf.DUMMYFUNCTION("""COMPUTED_VALUE"""),5001.0)</f>
        <v>5001</v>
      </c>
      <c r="F41" s="16">
        <f>IFERROR(__xludf.DUMMYFUNCTION("""COMPUTED_VALUE"""),1265.0)</f>
        <v>1265</v>
      </c>
      <c r="G41" s="16">
        <f>IFERROR(__xludf.DUMMYFUNCTION("""COMPUTED_VALUE"""),14488.0)</f>
        <v>14488</v>
      </c>
      <c r="H41" s="17">
        <v>24821.0</v>
      </c>
      <c r="I41" s="14"/>
      <c r="J41" s="15" t="str">
        <f>IFERROR(__xludf.DUMMYFUNCTION("""COMPUTED_VALUE"""),"2016 Q3")</f>
        <v>2016 Q3</v>
      </c>
      <c r="K41" s="16"/>
      <c r="L41" s="16"/>
      <c r="M41" s="16">
        <f>IFERROR(__xludf.DUMMYFUNCTION("""COMPUTED_VALUE"""),743.0)</f>
        <v>743</v>
      </c>
      <c r="N41" s="16"/>
      <c r="O41" s="16"/>
      <c r="P41" s="16">
        <f>IFERROR(__xludf.DUMMYFUNCTION("""COMPUTED_VALUE"""),3324.0)</f>
        <v>3324</v>
      </c>
      <c r="Q41" s="16"/>
      <c r="R41" s="16"/>
      <c r="S41" s="16">
        <f>IFERROR(__xludf.DUMMYFUNCTION("""COMPUTED_VALUE"""),5001.0)</f>
        <v>5001</v>
      </c>
      <c r="T41" s="16"/>
      <c r="U41" s="16"/>
      <c r="V41" s="16"/>
      <c r="W41" s="16">
        <f>IFERROR(__xludf.DUMMYFUNCTION("""COMPUTED_VALUE"""),1265.0)</f>
        <v>1265</v>
      </c>
      <c r="X41" s="16"/>
      <c r="Y41" s="16"/>
      <c r="Z41" s="16"/>
      <c r="AA41" s="16">
        <f>IFERROR(__xludf.DUMMYFUNCTION("""COMPUTED_VALUE"""),14488.0)</f>
        <v>14488</v>
      </c>
      <c r="AB41" s="16"/>
      <c r="AC41" s="17">
        <v>24821.0</v>
      </c>
      <c r="AD41" s="10"/>
      <c r="AE41" s="10"/>
      <c r="AF41" s="10"/>
      <c r="AG41" s="10"/>
      <c r="AH41" s="10"/>
      <c r="AI41" s="10"/>
    </row>
    <row r="42">
      <c r="A42" s="14"/>
      <c r="B42" s="15" t="str">
        <f>IFERROR(__xludf.DUMMYFUNCTION("""COMPUTED_VALUE"""),"2016 Q4")</f>
        <v>2016 Q4</v>
      </c>
      <c r="C42" s="16">
        <f>IFERROR(__xludf.DUMMYFUNCTION("""COMPUTED_VALUE"""),677.0)</f>
        <v>677</v>
      </c>
      <c r="D42" s="16">
        <f>IFERROR(__xludf.DUMMYFUNCTION("""COMPUTED_VALUE"""),2910.0)</f>
        <v>2910</v>
      </c>
      <c r="E42" s="16">
        <f>IFERROR(__xludf.DUMMYFUNCTION("""COMPUTED_VALUE"""),4400.0)</f>
        <v>4400</v>
      </c>
      <c r="F42" s="16">
        <f>IFERROR(__xludf.DUMMYFUNCTION("""COMPUTED_VALUE"""),681.0)</f>
        <v>681</v>
      </c>
      <c r="G42" s="16">
        <f>IFERROR(__xludf.DUMMYFUNCTION("""COMPUTED_VALUE"""),13584.0)</f>
        <v>13584</v>
      </c>
      <c r="H42" s="17">
        <v>22252.0</v>
      </c>
      <c r="I42" s="14"/>
      <c r="J42" s="15" t="str">
        <f>IFERROR(__xludf.DUMMYFUNCTION("""COMPUTED_VALUE"""),"2016 Q4")</f>
        <v>2016 Q4</v>
      </c>
      <c r="K42" s="16"/>
      <c r="L42" s="16"/>
      <c r="M42" s="16">
        <f>IFERROR(__xludf.DUMMYFUNCTION("""COMPUTED_VALUE"""),677.0)</f>
        <v>677</v>
      </c>
      <c r="N42" s="16"/>
      <c r="O42" s="16"/>
      <c r="P42" s="16">
        <f>IFERROR(__xludf.DUMMYFUNCTION("""COMPUTED_VALUE"""),2910.0)</f>
        <v>2910</v>
      </c>
      <c r="Q42" s="16"/>
      <c r="R42" s="16"/>
      <c r="S42" s="16">
        <f>IFERROR(__xludf.DUMMYFUNCTION("""COMPUTED_VALUE"""),4400.0)</f>
        <v>4400</v>
      </c>
      <c r="T42" s="16"/>
      <c r="U42" s="16"/>
      <c r="V42" s="16"/>
      <c r="W42" s="16">
        <f>IFERROR(__xludf.DUMMYFUNCTION("""COMPUTED_VALUE"""),681.0)</f>
        <v>681</v>
      </c>
      <c r="X42" s="16"/>
      <c r="Y42" s="16"/>
      <c r="Z42" s="16"/>
      <c r="AA42" s="16">
        <f>IFERROR(__xludf.DUMMYFUNCTION("""COMPUTED_VALUE"""),13584.0)</f>
        <v>13584</v>
      </c>
      <c r="AB42" s="16"/>
      <c r="AC42" s="17">
        <v>22252.0</v>
      </c>
      <c r="AD42" s="10"/>
      <c r="AE42" s="10"/>
      <c r="AF42" s="10"/>
      <c r="AG42" s="10"/>
      <c r="AH42" s="10"/>
      <c r="AI42" s="10"/>
    </row>
    <row r="43">
      <c r="A43" s="14"/>
      <c r="B43" s="15" t="str">
        <f>IFERROR(__xludf.DUMMYFUNCTION("""COMPUTED_VALUE"""),"2017 Q1")</f>
        <v>2017 Q1</v>
      </c>
      <c r="C43" s="16">
        <f>IFERROR(__xludf.DUMMYFUNCTION("""COMPUTED_VALUE"""),558.0)</f>
        <v>558</v>
      </c>
      <c r="D43" s="16">
        <f>IFERROR(__xludf.DUMMYFUNCTION("""COMPUTED_VALUE"""),2285.0)</f>
        <v>2285</v>
      </c>
      <c r="E43" s="16">
        <f>IFERROR(__xludf.DUMMYFUNCTION("""COMPUTED_VALUE"""),6689.0)</f>
        <v>6689</v>
      </c>
      <c r="F43" s="16">
        <f>IFERROR(__xludf.DUMMYFUNCTION("""COMPUTED_VALUE"""),4408.0)</f>
        <v>4408</v>
      </c>
      <c r="G43" s="16">
        <f>IFERROR(__xludf.DUMMYFUNCTION("""COMPUTED_VALUE"""),11111.0)</f>
        <v>11111</v>
      </c>
      <c r="H43" s="17">
        <v>25051.0</v>
      </c>
      <c r="I43" s="14"/>
      <c r="J43" s="15" t="str">
        <f>IFERROR(__xludf.DUMMYFUNCTION("""COMPUTED_VALUE"""),"2017 Q1")</f>
        <v>2017 Q1</v>
      </c>
      <c r="K43" s="16"/>
      <c r="L43" s="16"/>
      <c r="M43" s="16">
        <f>IFERROR(__xludf.DUMMYFUNCTION("""COMPUTED_VALUE"""),558.0)</f>
        <v>558</v>
      </c>
      <c r="N43" s="16"/>
      <c r="O43" s="16"/>
      <c r="P43" s="16">
        <f>IFERROR(__xludf.DUMMYFUNCTION("""COMPUTED_VALUE"""),2285.0)</f>
        <v>2285</v>
      </c>
      <c r="Q43" s="16"/>
      <c r="R43" s="16"/>
      <c r="S43" s="16">
        <f>IFERROR(__xludf.DUMMYFUNCTION("""COMPUTED_VALUE"""),6689.0)</f>
        <v>6689</v>
      </c>
      <c r="T43" s="16"/>
      <c r="U43" s="16"/>
      <c r="V43" s="16"/>
      <c r="W43" s="16">
        <f>IFERROR(__xludf.DUMMYFUNCTION("""COMPUTED_VALUE"""),4408.0)</f>
        <v>4408</v>
      </c>
      <c r="X43" s="16"/>
      <c r="Y43" s="16"/>
      <c r="Z43" s="16"/>
      <c r="AA43" s="16">
        <f>IFERROR(__xludf.DUMMYFUNCTION("""COMPUTED_VALUE"""),11111.0)</f>
        <v>11111</v>
      </c>
      <c r="AB43" s="16"/>
      <c r="AC43" s="17">
        <v>25051.0</v>
      </c>
      <c r="AD43" s="10"/>
      <c r="AE43" s="10"/>
      <c r="AF43" s="10"/>
      <c r="AG43" s="10"/>
      <c r="AH43" s="10"/>
      <c r="AI43" s="10"/>
    </row>
    <row r="44">
      <c r="A44" s="14"/>
      <c r="B44" s="15" t="str">
        <f>IFERROR(__xludf.DUMMYFUNCTION("""COMPUTED_VALUE"""),"2017 Q2")</f>
        <v>2017 Q2</v>
      </c>
      <c r="C44" s="16">
        <f>IFERROR(__xludf.DUMMYFUNCTION("""COMPUTED_VALUE"""),549.0)</f>
        <v>549</v>
      </c>
      <c r="D44" s="16">
        <f>IFERROR(__xludf.DUMMYFUNCTION("""COMPUTED_VALUE"""),4026.0)</f>
        <v>4026</v>
      </c>
      <c r="E44" s="16">
        <f>IFERROR(__xludf.DUMMYFUNCTION("""COMPUTED_VALUE"""),5541.0)</f>
        <v>5541</v>
      </c>
      <c r="F44" s="16">
        <f>IFERROR(__xludf.DUMMYFUNCTION("""COMPUTED_VALUE"""),806.0)</f>
        <v>806</v>
      </c>
      <c r="G44" s="16">
        <f>IFERROR(__xludf.DUMMYFUNCTION("""COMPUTED_VALUE"""),11104.0)</f>
        <v>11104</v>
      </c>
      <c r="H44" s="17">
        <v>22026.0</v>
      </c>
      <c r="I44" s="14"/>
      <c r="J44" s="15" t="str">
        <f>IFERROR(__xludf.DUMMYFUNCTION("""COMPUTED_VALUE"""),"2017 Q2")</f>
        <v>2017 Q2</v>
      </c>
      <c r="K44" s="16"/>
      <c r="L44" s="16"/>
      <c r="M44" s="16">
        <f>IFERROR(__xludf.DUMMYFUNCTION("""COMPUTED_VALUE"""),549.0)</f>
        <v>549</v>
      </c>
      <c r="N44" s="16"/>
      <c r="O44" s="16"/>
      <c r="P44" s="16">
        <f>IFERROR(__xludf.DUMMYFUNCTION("""COMPUTED_VALUE"""),4026.0)</f>
        <v>4026</v>
      </c>
      <c r="Q44" s="16"/>
      <c r="R44" s="16"/>
      <c r="S44" s="16">
        <f>IFERROR(__xludf.DUMMYFUNCTION("""COMPUTED_VALUE"""),5541.0)</f>
        <v>5541</v>
      </c>
      <c r="T44" s="16"/>
      <c r="U44" s="16"/>
      <c r="V44" s="16"/>
      <c r="W44" s="16">
        <f>IFERROR(__xludf.DUMMYFUNCTION("""COMPUTED_VALUE"""),806.0)</f>
        <v>806</v>
      </c>
      <c r="X44" s="16"/>
      <c r="Y44" s="16"/>
      <c r="Z44" s="16"/>
      <c r="AA44" s="16">
        <f>IFERROR(__xludf.DUMMYFUNCTION("""COMPUTED_VALUE"""),11104.0)</f>
        <v>11104</v>
      </c>
      <c r="AB44" s="16"/>
      <c r="AC44" s="17">
        <v>22026.0</v>
      </c>
      <c r="AD44" s="10"/>
      <c r="AE44" s="10"/>
      <c r="AF44" s="10"/>
      <c r="AG44" s="10"/>
      <c r="AH44" s="10"/>
      <c r="AI44" s="10"/>
    </row>
    <row r="45">
      <c r="A45" s="14"/>
      <c r="B45" s="15" t="str">
        <f>IFERROR(__xludf.DUMMYFUNCTION("""COMPUTED_VALUE"""),"2017 Q3")</f>
        <v>2017 Q3</v>
      </c>
      <c r="C45" s="16">
        <f>IFERROR(__xludf.DUMMYFUNCTION("""COMPUTED_VALUE"""),559.0)</f>
        <v>559</v>
      </c>
      <c r="D45" s="16">
        <f>IFERROR(__xludf.DUMMYFUNCTION("""COMPUTED_VALUE"""),4992.0)</f>
        <v>4992</v>
      </c>
      <c r="E45" s="16">
        <f>IFERROR(__xludf.DUMMYFUNCTION("""COMPUTED_VALUE"""),7105.0)</f>
        <v>7105</v>
      </c>
      <c r="F45" s="16">
        <f>IFERROR(__xludf.DUMMYFUNCTION("""COMPUTED_VALUE"""),893.0)</f>
        <v>893</v>
      </c>
      <c r="G45" s="16">
        <f>IFERROR(__xludf.DUMMYFUNCTION("""COMPUTED_VALUE"""),12588.0)</f>
        <v>12588</v>
      </c>
      <c r="H45" s="17">
        <v>26137.0</v>
      </c>
      <c r="I45" s="14"/>
      <c r="J45" s="15" t="str">
        <f>IFERROR(__xludf.DUMMYFUNCTION("""COMPUTED_VALUE"""),"2017 Q3")</f>
        <v>2017 Q3</v>
      </c>
      <c r="K45" s="16"/>
      <c r="L45" s="16"/>
      <c r="M45" s="16">
        <f>IFERROR(__xludf.DUMMYFUNCTION("""COMPUTED_VALUE"""),559.0)</f>
        <v>559</v>
      </c>
      <c r="N45" s="16"/>
      <c r="O45" s="16"/>
      <c r="P45" s="16">
        <f>IFERROR(__xludf.DUMMYFUNCTION("""COMPUTED_VALUE"""),4992.0)</f>
        <v>4992</v>
      </c>
      <c r="Q45" s="16"/>
      <c r="R45" s="16"/>
      <c r="S45" s="16">
        <f>IFERROR(__xludf.DUMMYFUNCTION("""COMPUTED_VALUE"""),7105.0)</f>
        <v>7105</v>
      </c>
      <c r="T45" s="16"/>
      <c r="U45" s="16"/>
      <c r="V45" s="16"/>
      <c r="W45" s="16">
        <f>IFERROR(__xludf.DUMMYFUNCTION("""COMPUTED_VALUE"""),893.0)</f>
        <v>893</v>
      </c>
      <c r="X45" s="16"/>
      <c r="Y45" s="16"/>
      <c r="Z45" s="16">
        <f>IFERROR(__xludf.DUMMYFUNCTION("""COMPUTED_VALUE"""),222.0)</f>
        <v>222</v>
      </c>
      <c r="AA45" s="16">
        <f>IFERROR(__xludf.DUMMYFUNCTION("""COMPUTED_VALUE"""),12366.0)</f>
        <v>12366</v>
      </c>
      <c r="AB45" s="16"/>
      <c r="AC45" s="17">
        <v>26137.0</v>
      </c>
      <c r="AD45" s="10"/>
      <c r="AE45" s="10"/>
      <c r="AF45" s="10"/>
      <c r="AG45" s="10"/>
      <c r="AH45" s="10"/>
      <c r="AI45" s="10"/>
    </row>
    <row r="46">
      <c r="A46" s="14"/>
      <c r="B46" s="15" t="str">
        <f>IFERROR(__xludf.DUMMYFUNCTION("""COMPUTED_VALUE"""),"2017 Q4")</f>
        <v>2017 Q4</v>
      </c>
      <c r="C46" s="16">
        <f>IFERROR(__xludf.DUMMYFUNCTION("""COMPUTED_VALUE"""),695.0)</f>
        <v>695</v>
      </c>
      <c r="D46" s="16">
        <f>IFERROR(__xludf.DUMMYFUNCTION("""COMPUTED_VALUE"""),3526.0)</f>
        <v>3526</v>
      </c>
      <c r="E46" s="16">
        <f>IFERROR(__xludf.DUMMYFUNCTION("""COMPUTED_VALUE"""),8944.0)</f>
        <v>8944</v>
      </c>
      <c r="F46" s="16">
        <f>IFERROR(__xludf.DUMMYFUNCTION("""COMPUTED_VALUE"""),1216.0)</f>
        <v>1216</v>
      </c>
      <c r="G46" s="16">
        <f>IFERROR(__xludf.DUMMYFUNCTION("""COMPUTED_VALUE"""),15586.0)</f>
        <v>15586</v>
      </c>
      <c r="H46" s="17">
        <v>29967.0</v>
      </c>
      <c r="I46" s="14"/>
      <c r="J46" s="15" t="str">
        <f>IFERROR(__xludf.DUMMYFUNCTION("""COMPUTED_VALUE"""),"2017 Q4")</f>
        <v>2017 Q4</v>
      </c>
      <c r="K46" s="16"/>
      <c r="L46" s="16"/>
      <c r="M46" s="16">
        <f>IFERROR(__xludf.DUMMYFUNCTION("""COMPUTED_VALUE"""),695.0)</f>
        <v>695</v>
      </c>
      <c r="N46" s="16"/>
      <c r="O46" s="16"/>
      <c r="P46" s="16">
        <f>IFERROR(__xludf.DUMMYFUNCTION("""COMPUTED_VALUE"""),3526.0)</f>
        <v>3526</v>
      </c>
      <c r="Q46" s="16"/>
      <c r="R46" s="16"/>
      <c r="S46" s="16">
        <f>IFERROR(__xludf.DUMMYFUNCTION("""COMPUTED_VALUE"""),8944.0)</f>
        <v>8944</v>
      </c>
      <c r="T46" s="16"/>
      <c r="U46" s="16"/>
      <c r="V46" s="16"/>
      <c r="W46" s="16">
        <f>IFERROR(__xludf.DUMMYFUNCTION("""COMPUTED_VALUE"""),1216.0)</f>
        <v>1216</v>
      </c>
      <c r="X46" s="16"/>
      <c r="Y46" s="16"/>
      <c r="Z46" s="16">
        <f>IFERROR(__xludf.DUMMYFUNCTION("""COMPUTED_VALUE"""),1542.0)</f>
        <v>1542</v>
      </c>
      <c r="AA46" s="16">
        <f>IFERROR(__xludf.DUMMYFUNCTION("""COMPUTED_VALUE"""),14044.0)</f>
        <v>14044</v>
      </c>
      <c r="AB46" s="16"/>
      <c r="AC46" s="17">
        <v>29967.0</v>
      </c>
      <c r="AD46" s="10"/>
      <c r="AE46" s="10"/>
      <c r="AF46" s="10"/>
      <c r="AG46" s="10"/>
      <c r="AH46" s="10"/>
      <c r="AI46" s="10"/>
    </row>
    <row r="47">
      <c r="A47" s="14"/>
      <c r="B47" s="15" t="str">
        <f>IFERROR(__xludf.DUMMYFUNCTION("""COMPUTED_VALUE"""),"2018 Q1")</f>
        <v>2018 Q1</v>
      </c>
      <c r="C47" s="16">
        <f>IFERROR(__xludf.DUMMYFUNCTION("""COMPUTED_VALUE"""),506.0)</f>
        <v>506</v>
      </c>
      <c r="D47" s="16">
        <f>IFERROR(__xludf.DUMMYFUNCTION("""COMPUTED_VALUE"""),4187.0)</f>
        <v>4187</v>
      </c>
      <c r="E47" s="16">
        <f>IFERROR(__xludf.DUMMYFUNCTION("""COMPUTED_VALUE"""),6124.0)</f>
        <v>6124</v>
      </c>
      <c r="F47" s="16">
        <f>IFERROR(__xludf.DUMMYFUNCTION("""COMPUTED_VALUE"""),792.0)</f>
        <v>792</v>
      </c>
      <c r="G47" s="16">
        <f>IFERROR(__xludf.DUMMYFUNCTION("""COMPUTED_VALUE"""),18388.0)</f>
        <v>18388</v>
      </c>
      <c r="H47" s="17">
        <v>29997.0</v>
      </c>
      <c r="I47" s="14"/>
      <c r="J47" s="15" t="str">
        <f>IFERROR(__xludf.DUMMYFUNCTION("""COMPUTED_VALUE"""),"2018 Q1")</f>
        <v>2018 Q1</v>
      </c>
      <c r="K47" s="16"/>
      <c r="L47" s="16"/>
      <c r="M47" s="16">
        <f>IFERROR(__xludf.DUMMYFUNCTION("""COMPUTED_VALUE"""),506.0)</f>
        <v>506</v>
      </c>
      <c r="N47" s="16"/>
      <c r="O47" s="16"/>
      <c r="P47" s="16">
        <f>IFERROR(__xludf.DUMMYFUNCTION("""COMPUTED_VALUE"""),4187.0)</f>
        <v>4187</v>
      </c>
      <c r="Q47" s="16"/>
      <c r="R47" s="16"/>
      <c r="S47" s="16">
        <f>IFERROR(__xludf.DUMMYFUNCTION("""COMPUTED_VALUE"""),6124.0)</f>
        <v>6124</v>
      </c>
      <c r="T47" s="16"/>
      <c r="U47" s="16"/>
      <c r="V47" s="16"/>
      <c r="W47" s="16">
        <f>IFERROR(__xludf.DUMMYFUNCTION("""COMPUTED_VALUE"""),792.0)</f>
        <v>792</v>
      </c>
      <c r="X47" s="16"/>
      <c r="Y47" s="16"/>
      <c r="Z47" s="16">
        <f>IFERROR(__xludf.DUMMYFUNCTION("""COMPUTED_VALUE"""),8182.0)</f>
        <v>8182</v>
      </c>
      <c r="AA47" s="16">
        <f>IFERROR(__xludf.DUMMYFUNCTION("""COMPUTED_VALUE"""),10206.0)</f>
        <v>10206</v>
      </c>
      <c r="AB47" s="16"/>
      <c r="AC47" s="17">
        <v>29997.0</v>
      </c>
      <c r="AD47" s="10"/>
      <c r="AE47" s="10"/>
      <c r="AF47" s="10"/>
      <c r="AG47" s="10"/>
      <c r="AH47" s="10"/>
      <c r="AI47" s="10"/>
    </row>
    <row r="48">
      <c r="A48" s="14"/>
      <c r="B48" s="15" t="str">
        <f>IFERROR(__xludf.DUMMYFUNCTION("""COMPUTED_VALUE"""),"2018 Q2")</f>
        <v>2018 Q2</v>
      </c>
      <c r="C48" s="16">
        <f>IFERROR(__xludf.DUMMYFUNCTION("""COMPUTED_VALUE"""),1748.0)</f>
        <v>1748</v>
      </c>
      <c r="D48" s="16">
        <f>IFERROR(__xludf.DUMMYFUNCTION("""COMPUTED_VALUE"""),5287.0)</f>
        <v>5287</v>
      </c>
      <c r="E48" s="16">
        <f>IFERROR(__xludf.DUMMYFUNCTION("""COMPUTED_VALUE"""),7197.0)</f>
        <v>7197</v>
      </c>
      <c r="F48" s="16">
        <f>IFERROR(__xludf.DUMMYFUNCTION("""COMPUTED_VALUE"""),764.0)</f>
        <v>764</v>
      </c>
      <c r="G48" s="16">
        <f>IFERROR(__xludf.DUMMYFUNCTION("""COMPUTED_VALUE"""),25772.0)</f>
        <v>25772</v>
      </c>
      <c r="H48" s="17">
        <v>40768.0</v>
      </c>
      <c r="I48" s="14"/>
      <c r="J48" s="15" t="str">
        <f>IFERROR(__xludf.DUMMYFUNCTION("""COMPUTED_VALUE"""),"2018 Q2")</f>
        <v>2018 Q2</v>
      </c>
      <c r="K48" s="16"/>
      <c r="L48" s="16">
        <f>IFERROR(__xludf.DUMMYFUNCTION("""COMPUTED_VALUE"""),1331.0)</f>
        <v>1331</v>
      </c>
      <c r="M48" s="16">
        <f>IFERROR(__xludf.DUMMYFUNCTION("""COMPUTED_VALUE"""),417.0)</f>
        <v>417</v>
      </c>
      <c r="N48" s="16"/>
      <c r="O48" s="16"/>
      <c r="P48" s="16">
        <f>IFERROR(__xludf.DUMMYFUNCTION("""COMPUTED_VALUE"""),5287.0)</f>
        <v>5287</v>
      </c>
      <c r="Q48" s="16"/>
      <c r="R48" s="16"/>
      <c r="S48" s="16">
        <f>IFERROR(__xludf.DUMMYFUNCTION("""COMPUTED_VALUE"""),7197.0)</f>
        <v>7197</v>
      </c>
      <c r="T48" s="16"/>
      <c r="U48" s="16"/>
      <c r="V48" s="16"/>
      <c r="W48" s="16">
        <f>IFERROR(__xludf.DUMMYFUNCTION("""COMPUTED_VALUE"""),764.0)</f>
        <v>764</v>
      </c>
      <c r="X48" s="16"/>
      <c r="Y48" s="16"/>
      <c r="Z48" s="16">
        <f>IFERROR(__xludf.DUMMYFUNCTION("""COMPUTED_VALUE"""),17118.0)</f>
        <v>17118</v>
      </c>
      <c r="AA48" s="16">
        <f>IFERROR(__xludf.DUMMYFUNCTION("""COMPUTED_VALUE"""),8654.0)</f>
        <v>8654</v>
      </c>
      <c r="AB48" s="16"/>
      <c r="AC48" s="17">
        <v>40768.0</v>
      </c>
      <c r="AD48" s="10"/>
      <c r="AE48" s="10"/>
      <c r="AF48" s="10"/>
      <c r="AG48" s="10"/>
      <c r="AH48" s="10"/>
      <c r="AI48" s="10"/>
    </row>
    <row r="49">
      <c r="A49" s="14"/>
      <c r="B49" s="15" t="str">
        <f>IFERROR(__xludf.DUMMYFUNCTION("""COMPUTED_VALUE"""),"2018 Q3")</f>
        <v>2018 Q3</v>
      </c>
      <c r="C49" s="16">
        <f>IFERROR(__xludf.DUMMYFUNCTION("""COMPUTED_VALUE"""),2450.0)</f>
        <v>2450</v>
      </c>
      <c r="D49" s="16">
        <f>IFERROR(__xludf.DUMMYFUNCTION("""COMPUTED_VALUE"""),2871.0)</f>
        <v>2871</v>
      </c>
      <c r="E49" s="16">
        <f>IFERROR(__xludf.DUMMYFUNCTION("""COMPUTED_VALUE"""),7777.0)</f>
        <v>7777</v>
      </c>
      <c r="F49" s="16">
        <f>IFERROR(__xludf.DUMMYFUNCTION("""COMPUTED_VALUE"""),858.0)</f>
        <v>858</v>
      </c>
      <c r="G49" s="16">
        <f>IFERROR(__xludf.DUMMYFUNCTION("""COMPUTED_VALUE"""),69819.0)</f>
        <v>69819</v>
      </c>
      <c r="H49" s="17">
        <v>83775.0</v>
      </c>
      <c r="I49" s="14"/>
      <c r="J49" s="15" t="str">
        <f>IFERROR(__xludf.DUMMYFUNCTION("""COMPUTED_VALUE"""),"2018 Q3")</f>
        <v>2018 Q3</v>
      </c>
      <c r="K49" s="16"/>
      <c r="L49" s="16">
        <f>IFERROR(__xludf.DUMMYFUNCTION("""COMPUTED_VALUE"""),1712.0)</f>
        <v>1712</v>
      </c>
      <c r="M49" s="16">
        <f>IFERROR(__xludf.DUMMYFUNCTION("""COMPUTED_VALUE"""),738.0)</f>
        <v>738</v>
      </c>
      <c r="N49" s="16"/>
      <c r="O49" s="16"/>
      <c r="P49" s="16">
        <f>IFERROR(__xludf.DUMMYFUNCTION("""COMPUTED_VALUE"""),2871.0)</f>
        <v>2871</v>
      </c>
      <c r="Q49" s="16"/>
      <c r="R49" s="16"/>
      <c r="S49" s="16">
        <f>IFERROR(__xludf.DUMMYFUNCTION("""COMPUTED_VALUE"""),7777.0)</f>
        <v>7777</v>
      </c>
      <c r="T49" s="16"/>
      <c r="U49" s="16"/>
      <c r="V49" s="16"/>
      <c r="W49" s="16">
        <f>IFERROR(__xludf.DUMMYFUNCTION("""COMPUTED_VALUE"""),858.0)</f>
        <v>858</v>
      </c>
      <c r="X49" s="16"/>
      <c r="Y49" s="16"/>
      <c r="Z49" s="16">
        <f>IFERROR(__xludf.DUMMYFUNCTION("""COMPUTED_VALUE"""),54353.0)</f>
        <v>54353</v>
      </c>
      <c r="AA49" s="16">
        <f>IFERROR(__xludf.DUMMYFUNCTION("""COMPUTED_VALUE"""),15466.0)</f>
        <v>15466</v>
      </c>
      <c r="AB49" s="16"/>
      <c r="AC49" s="17">
        <v>83775.0</v>
      </c>
      <c r="AD49" s="10"/>
      <c r="AE49" s="10"/>
      <c r="AF49" s="10"/>
      <c r="AG49" s="10"/>
      <c r="AH49" s="10"/>
      <c r="AI49" s="10"/>
    </row>
    <row r="50">
      <c r="A50" s="14"/>
      <c r="B50" s="15" t="str">
        <f>IFERROR(__xludf.DUMMYFUNCTION("""COMPUTED_VALUE"""),"2018 Q4")</f>
        <v>2018 Q4</v>
      </c>
      <c r="C50" s="16">
        <f>IFERROR(__xludf.DUMMYFUNCTION("""COMPUTED_VALUE"""),2496.0)</f>
        <v>2496</v>
      </c>
      <c r="D50" s="16">
        <f>IFERROR(__xludf.DUMMYFUNCTION("""COMPUTED_VALUE"""),2684.0)</f>
        <v>2684</v>
      </c>
      <c r="E50" s="16">
        <f>IFERROR(__xludf.DUMMYFUNCTION("""COMPUTED_VALUE"""),8159.0)</f>
        <v>8159</v>
      </c>
      <c r="F50" s="16">
        <f>IFERROR(__xludf.DUMMYFUNCTION("""COMPUTED_VALUE"""),965.0)</f>
        <v>965</v>
      </c>
      <c r="G50" s="16">
        <f>IFERROR(__xludf.DUMMYFUNCTION("""COMPUTED_VALUE"""),76662.0)</f>
        <v>76662</v>
      </c>
      <c r="H50" s="17">
        <v>90966.0</v>
      </c>
      <c r="I50" s="14"/>
      <c r="J50" s="15" t="str">
        <f>IFERROR(__xludf.DUMMYFUNCTION("""COMPUTED_VALUE"""),"2018 Q4")</f>
        <v>2018 Q4</v>
      </c>
      <c r="K50" s="16"/>
      <c r="L50" s="16">
        <f>IFERROR(__xludf.DUMMYFUNCTION("""COMPUTED_VALUE"""),1753.0)</f>
        <v>1753</v>
      </c>
      <c r="M50" s="16">
        <f>IFERROR(__xludf.DUMMYFUNCTION("""COMPUTED_VALUE"""),743.0)</f>
        <v>743</v>
      </c>
      <c r="N50" s="16"/>
      <c r="O50" s="16"/>
      <c r="P50" s="16">
        <f>IFERROR(__xludf.DUMMYFUNCTION("""COMPUTED_VALUE"""),2684.0)</f>
        <v>2684</v>
      </c>
      <c r="Q50" s="16"/>
      <c r="R50" s="16"/>
      <c r="S50" s="16">
        <f>IFERROR(__xludf.DUMMYFUNCTION("""COMPUTED_VALUE"""),8159.0)</f>
        <v>8159</v>
      </c>
      <c r="T50" s="16"/>
      <c r="U50" s="16"/>
      <c r="V50" s="16"/>
      <c r="W50" s="16">
        <f>IFERROR(__xludf.DUMMYFUNCTION("""COMPUTED_VALUE"""),965.0)</f>
        <v>965</v>
      </c>
      <c r="X50" s="16"/>
      <c r="Y50" s="16"/>
      <c r="Z50" s="16">
        <f>IFERROR(__xludf.DUMMYFUNCTION("""COMPUTED_VALUE"""),61606.0)</f>
        <v>61606</v>
      </c>
      <c r="AA50" s="16">
        <f>IFERROR(__xludf.DUMMYFUNCTION("""COMPUTED_VALUE"""),15056.0)</f>
        <v>15056</v>
      </c>
      <c r="AB50" s="16"/>
      <c r="AC50" s="17">
        <v>90966.0</v>
      </c>
      <c r="AD50" s="10"/>
      <c r="AE50" s="10"/>
      <c r="AF50" s="10"/>
      <c r="AG50" s="10"/>
      <c r="AH50" s="10"/>
      <c r="AI50" s="10"/>
    </row>
    <row r="51">
      <c r="A51" s="14"/>
      <c r="B51" s="15" t="str">
        <f>IFERROR(__xludf.DUMMYFUNCTION("""COMPUTED_VALUE"""),"2019 Q1")</f>
        <v>2019 Q1</v>
      </c>
      <c r="C51" s="16">
        <f>IFERROR(__xludf.DUMMYFUNCTION("""COMPUTED_VALUE"""),1109.0)</f>
        <v>1109</v>
      </c>
      <c r="D51" s="16">
        <f>IFERROR(__xludf.DUMMYFUNCTION("""COMPUTED_VALUE"""),6584.0)</f>
        <v>6584</v>
      </c>
      <c r="E51" s="16">
        <f>IFERROR(__xludf.DUMMYFUNCTION("""COMPUTED_VALUE"""),22762.0)</f>
        <v>22762</v>
      </c>
      <c r="F51" s="16">
        <f>IFERROR(__xludf.DUMMYFUNCTION("""COMPUTED_VALUE"""),640.0)</f>
        <v>640</v>
      </c>
      <c r="G51" s="16">
        <f>IFERROR(__xludf.DUMMYFUNCTION("""COMPUTED_VALUE"""),31924.0)</f>
        <v>31924</v>
      </c>
      <c r="H51" s="17">
        <v>63019.0</v>
      </c>
      <c r="I51" s="14"/>
      <c r="J51" s="15" t="str">
        <f>IFERROR(__xludf.DUMMYFUNCTION("""COMPUTED_VALUE"""),"2019 Q1")</f>
        <v>2019 Q1</v>
      </c>
      <c r="K51" s="16"/>
      <c r="L51" s="16">
        <f>IFERROR(__xludf.DUMMYFUNCTION("""COMPUTED_VALUE"""),866.0)</f>
        <v>866</v>
      </c>
      <c r="M51" s="16">
        <f>IFERROR(__xludf.DUMMYFUNCTION("""COMPUTED_VALUE"""),243.0)</f>
        <v>243</v>
      </c>
      <c r="N51" s="16"/>
      <c r="O51" s="16">
        <f>IFERROR(__xludf.DUMMYFUNCTION("""COMPUTED_VALUE"""),3738.0)</f>
        <v>3738</v>
      </c>
      <c r="P51" s="16">
        <f>IFERROR(__xludf.DUMMYFUNCTION("""COMPUTED_VALUE"""),2846.0)</f>
        <v>2846</v>
      </c>
      <c r="Q51" s="16"/>
      <c r="R51" s="16">
        <f>IFERROR(__xludf.DUMMYFUNCTION("""COMPUTED_VALUE"""),19643.0)</f>
        <v>19643</v>
      </c>
      <c r="S51" s="16">
        <f>IFERROR(__xludf.DUMMYFUNCTION("""COMPUTED_VALUE"""),3119.0)</f>
        <v>3119</v>
      </c>
      <c r="T51" s="16"/>
      <c r="U51" s="16"/>
      <c r="V51" s="16"/>
      <c r="W51" s="16">
        <f>IFERROR(__xludf.DUMMYFUNCTION("""COMPUTED_VALUE"""),640.0)</f>
        <v>640</v>
      </c>
      <c r="X51" s="16"/>
      <c r="Y51" s="16"/>
      <c r="Z51" s="16">
        <f>IFERROR(__xludf.DUMMYFUNCTION("""COMPUTED_VALUE"""),26681.0)</f>
        <v>26681</v>
      </c>
      <c r="AA51" s="16">
        <f>IFERROR(__xludf.DUMMYFUNCTION("""COMPUTED_VALUE"""),5243.0)</f>
        <v>5243</v>
      </c>
      <c r="AB51" s="16"/>
      <c r="AC51" s="17">
        <v>63019.0</v>
      </c>
      <c r="AD51" s="10"/>
      <c r="AE51" s="10"/>
      <c r="AF51" s="10"/>
      <c r="AG51" s="10"/>
      <c r="AH51" s="10"/>
      <c r="AI51" s="10"/>
    </row>
    <row r="52">
      <c r="A52" s="14"/>
      <c r="B52" s="15" t="str">
        <f>IFERROR(__xludf.DUMMYFUNCTION("""COMPUTED_VALUE"""),"2019 Q2")</f>
        <v>2019 Q2</v>
      </c>
      <c r="C52" s="16">
        <f>IFERROR(__xludf.DUMMYFUNCTION("""COMPUTED_VALUE"""),5964.0)</f>
        <v>5964</v>
      </c>
      <c r="D52" s="16">
        <f>IFERROR(__xludf.DUMMYFUNCTION("""COMPUTED_VALUE"""),11311.0)</f>
        <v>11311</v>
      </c>
      <c r="E52" s="16">
        <f>IFERROR(__xludf.DUMMYFUNCTION("""COMPUTED_VALUE"""),22805.0)</f>
        <v>22805</v>
      </c>
      <c r="F52" s="16">
        <f>IFERROR(__xludf.DUMMYFUNCTION("""COMPUTED_VALUE"""),1279.0)</f>
        <v>1279</v>
      </c>
      <c r="G52" s="16">
        <f>IFERROR(__xludf.DUMMYFUNCTION("""COMPUTED_VALUE"""),53997.0)</f>
        <v>53997</v>
      </c>
      <c r="H52" s="17">
        <v>95356.0</v>
      </c>
      <c r="I52" s="14"/>
      <c r="J52" s="15" t="str">
        <f>IFERROR(__xludf.DUMMYFUNCTION("""COMPUTED_VALUE"""),"2019 Q2")</f>
        <v>2019 Q2</v>
      </c>
      <c r="K52" s="16"/>
      <c r="L52" s="16">
        <f>IFERROR(__xludf.DUMMYFUNCTION("""COMPUTED_VALUE"""),5548.0)</f>
        <v>5548</v>
      </c>
      <c r="M52" s="16">
        <f>IFERROR(__xludf.DUMMYFUNCTION("""COMPUTED_VALUE"""),416.0)</f>
        <v>416</v>
      </c>
      <c r="N52" s="16"/>
      <c r="O52" s="16">
        <f>IFERROR(__xludf.DUMMYFUNCTION("""COMPUTED_VALUE"""),8139.0)</f>
        <v>8139</v>
      </c>
      <c r="P52" s="16">
        <f>IFERROR(__xludf.DUMMYFUNCTION("""COMPUTED_VALUE"""),3172.0)</f>
        <v>3172</v>
      </c>
      <c r="Q52" s="16"/>
      <c r="R52" s="16">
        <f>IFERROR(__xludf.DUMMYFUNCTION("""COMPUTED_VALUE"""),18220.0)</f>
        <v>18220</v>
      </c>
      <c r="S52" s="16">
        <f>IFERROR(__xludf.DUMMYFUNCTION("""COMPUTED_VALUE"""),4585.0)</f>
        <v>4585</v>
      </c>
      <c r="T52" s="16"/>
      <c r="U52" s="16"/>
      <c r="V52" s="16"/>
      <c r="W52" s="16">
        <f>IFERROR(__xludf.DUMMYFUNCTION("""COMPUTED_VALUE"""),1279.0)</f>
        <v>1279</v>
      </c>
      <c r="X52" s="16"/>
      <c r="Y52" s="16"/>
      <c r="Z52" s="16">
        <f>IFERROR(__xludf.DUMMYFUNCTION("""COMPUTED_VALUE"""),45727.0)</f>
        <v>45727</v>
      </c>
      <c r="AA52" s="16">
        <f>IFERROR(__xludf.DUMMYFUNCTION("""COMPUTED_VALUE"""),8270.0)</f>
        <v>8270</v>
      </c>
      <c r="AB52" s="16"/>
      <c r="AC52" s="17">
        <v>95356.0</v>
      </c>
      <c r="AD52" s="10"/>
      <c r="AE52" s="10"/>
      <c r="AF52" s="10"/>
      <c r="AG52" s="10"/>
      <c r="AH52" s="10"/>
      <c r="AI52" s="10"/>
    </row>
    <row r="53">
      <c r="A53" s="14"/>
      <c r="B53" s="15" t="str">
        <f>IFERROR(__xludf.DUMMYFUNCTION("""COMPUTED_VALUE"""),"2019 Q3")</f>
        <v>2019 Q3</v>
      </c>
      <c r="C53" s="16">
        <f>IFERROR(__xludf.DUMMYFUNCTION("""COMPUTED_VALUE"""),5414.0)</f>
        <v>5414</v>
      </c>
      <c r="D53" s="16">
        <f>IFERROR(__xludf.DUMMYFUNCTION("""COMPUTED_VALUE"""),10613.0)</f>
        <v>10613</v>
      </c>
      <c r="E53" s="16">
        <f>IFERROR(__xludf.DUMMYFUNCTION("""COMPUTED_VALUE"""),30081.0)</f>
        <v>30081</v>
      </c>
      <c r="F53" s="16">
        <f>IFERROR(__xludf.DUMMYFUNCTION("""COMPUTED_VALUE"""),3995.0)</f>
        <v>3995</v>
      </c>
      <c r="G53" s="16">
        <f>IFERROR(__xludf.DUMMYFUNCTION("""COMPUTED_VALUE"""),47083.0)</f>
        <v>47083</v>
      </c>
      <c r="H53" s="17">
        <v>97186.0</v>
      </c>
      <c r="I53" s="14"/>
      <c r="J53" s="15" t="str">
        <f>IFERROR(__xludf.DUMMYFUNCTION("""COMPUTED_VALUE"""),"2019 Q3")</f>
        <v>2019 Q3</v>
      </c>
      <c r="K53" s="16"/>
      <c r="L53" s="16">
        <f>IFERROR(__xludf.DUMMYFUNCTION("""COMPUTED_VALUE"""),4939.0)</f>
        <v>4939</v>
      </c>
      <c r="M53" s="16">
        <f>IFERROR(__xludf.DUMMYFUNCTION("""COMPUTED_VALUE"""),475.0)</f>
        <v>475</v>
      </c>
      <c r="N53" s="16"/>
      <c r="O53" s="16">
        <f>IFERROR(__xludf.DUMMYFUNCTION("""COMPUTED_VALUE"""),7576.0)</f>
        <v>7576</v>
      </c>
      <c r="P53" s="16">
        <f>IFERROR(__xludf.DUMMYFUNCTION("""COMPUTED_VALUE"""),3037.0)</f>
        <v>3037</v>
      </c>
      <c r="Q53" s="16"/>
      <c r="R53" s="16">
        <f>IFERROR(__xludf.DUMMYFUNCTION("""COMPUTED_VALUE"""),26080.0)</f>
        <v>26080</v>
      </c>
      <c r="S53" s="16">
        <f>IFERROR(__xludf.DUMMYFUNCTION("""COMPUTED_VALUE"""),4001.0)</f>
        <v>4001</v>
      </c>
      <c r="T53" s="16"/>
      <c r="U53" s="16"/>
      <c r="V53" s="16">
        <f>IFERROR(__xludf.DUMMYFUNCTION("""COMPUTED_VALUE"""),3072.0)</f>
        <v>3072</v>
      </c>
      <c r="W53" s="16">
        <f>IFERROR(__xludf.DUMMYFUNCTION("""COMPUTED_VALUE"""),923.0)</f>
        <v>923</v>
      </c>
      <c r="X53" s="16"/>
      <c r="Y53" s="16"/>
      <c r="Z53" s="16">
        <f>IFERROR(__xludf.DUMMYFUNCTION("""COMPUTED_VALUE"""),38036.0)</f>
        <v>38036</v>
      </c>
      <c r="AA53" s="16">
        <f>IFERROR(__xludf.DUMMYFUNCTION("""COMPUTED_VALUE"""),9047.0)</f>
        <v>9047</v>
      </c>
      <c r="AB53" s="16"/>
      <c r="AC53" s="17">
        <v>97186.0</v>
      </c>
      <c r="AD53" s="10"/>
      <c r="AE53" s="10"/>
      <c r="AF53" s="10"/>
      <c r="AG53" s="10"/>
      <c r="AH53" s="10"/>
      <c r="AI53" s="10"/>
    </row>
    <row r="54">
      <c r="A54" s="14"/>
      <c r="B54" s="15" t="str">
        <f>IFERROR(__xludf.DUMMYFUNCTION("""COMPUTED_VALUE"""),"2019 Q4")</f>
        <v>2019 Q4</v>
      </c>
      <c r="C54" s="16">
        <f>IFERROR(__xludf.DUMMYFUNCTION("""COMPUTED_VALUE"""),3302.0)</f>
        <v>3302</v>
      </c>
      <c r="D54" s="16">
        <f>IFERROR(__xludf.DUMMYFUNCTION("""COMPUTED_VALUE"""),12790.0)</f>
        <v>12790</v>
      </c>
      <c r="E54" s="16">
        <f>IFERROR(__xludf.DUMMYFUNCTION("""COMPUTED_VALUE"""),35471.0)</f>
        <v>35471</v>
      </c>
      <c r="F54" s="16">
        <f>IFERROR(__xludf.DUMMYFUNCTION("""COMPUTED_VALUE"""),6046.0)</f>
        <v>6046</v>
      </c>
      <c r="G54" s="16">
        <f>IFERROR(__xludf.DUMMYFUNCTION("""COMPUTED_VALUE"""),54486.0)</f>
        <v>54486</v>
      </c>
      <c r="H54" s="17">
        <v>112095.0</v>
      </c>
      <c r="I54" s="14"/>
      <c r="J54" s="15" t="str">
        <f>IFERROR(__xludf.DUMMYFUNCTION("""COMPUTED_VALUE"""),"2019 Q4")</f>
        <v>2019 Q4</v>
      </c>
      <c r="K54" s="16"/>
      <c r="L54" s="16">
        <f>IFERROR(__xludf.DUMMYFUNCTION("""COMPUTED_VALUE"""),2759.0)</f>
        <v>2759</v>
      </c>
      <c r="M54" s="16">
        <f>IFERROR(__xludf.DUMMYFUNCTION("""COMPUTED_VALUE"""),543.0)</f>
        <v>543</v>
      </c>
      <c r="N54" s="16"/>
      <c r="O54" s="16">
        <f>IFERROR(__xludf.DUMMYFUNCTION("""COMPUTED_VALUE"""),9821.0)</f>
        <v>9821</v>
      </c>
      <c r="P54" s="16">
        <f>IFERROR(__xludf.DUMMYFUNCTION("""COMPUTED_VALUE"""),2969.0)</f>
        <v>2969</v>
      </c>
      <c r="Q54" s="16"/>
      <c r="R54" s="16">
        <f>IFERROR(__xludf.DUMMYFUNCTION("""COMPUTED_VALUE"""),31941.0)</f>
        <v>31941</v>
      </c>
      <c r="S54" s="16">
        <f>IFERROR(__xludf.DUMMYFUNCTION("""COMPUTED_VALUE"""),3530.0)</f>
        <v>3530</v>
      </c>
      <c r="T54" s="16"/>
      <c r="U54" s="16"/>
      <c r="V54" s="16">
        <f>IFERROR(__xludf.DUMMYFUNCTION("""COMPUTED_VALUE"""),5386.0)</f>
        <v>5386</v>
      </c>
      <c r="W54" s="16">
        <f>IFERROR(__xludf.DUMMYFUNCTION("""COMPUTED_VALUE"""),660.0)</f>
        <v>660</v>
      </c>
      <c r="X54" s="16"/>
      <c r="Y54" s="16"/>
      <c r="Z54" s="16">
        <f>IFERROR(__xludf.DUMMYFUNCTION("""COMPUTED_VALUE"""),42713.0)</f>
        <v>42713</v>
      </c>
      <c r="AA54" s="16">
        <f>IFERROR(__xludf.DUMMYFUNCTION("""COMPUTED_VALUE"""),11773.0)</f>
        <v>11773</v>
      </c>
      <c r="AB54" s="16"/>
      <c r="AC54" s="17">
        <v>112095.0</v>
      </c>
      <c r="AD54" s="10"/>
      <c r="AE54" s="10"/>
      <c r="AF54" s="10"/>
      <c r="AG54" s="10"/>
      <c r="AH54" s="10"/>
      <c r="AI54" s="10"/>
    </row>
    <row r="55">
      <c r="A55" s="14"/>
      <c r="B55" s="15" t="str">
        <f>IFERROR(__xludf.DUMMYFUNCTION("""COMPUTED_VALUE"""),"2020 Q1")</f>
        <v>2020 Q1</v>
      </c>
      <c r="C55" s="16">
        <f>IFERROR(__xludf.DUMMYFUNCTION("""COMPUTED_VALUE"""),3991.0)</f>
        <v>3991</v>
      </c>
      <c r="D55" s="16">
        <f>IFERROR(__xludf.DUMMYFUNCTION("""COMPUTED_VALUE"""),19307.0)</f>
        <v>19307</v>
      </c>
      <c r="E55" s="16">
        <f>IFERROR(__xludf.DUMMYFUNCTION("""COMPUTED_VALUE"""),23782.0)</f>
        <v>23782</v>
      </c>
      <c r="F55" s="16">
        <f>IFERROR(__xludf.DUMMYFUNCTION("""COMPUTED_VALUE"""),7959.0)</f>
        <v>7959</v>
      </c>
      <c r="G55" s="16">
        <f>IFERROR(__xludf.DUMMYFUNCTION("""COMPUTED_VALUE"""),33457.0)</f>
        <v>33457</v>
      </c>
      <c r="H55" s="17">
        <v>88496.0</v>
      </c>
      <c r="I55" s="14"/>
      <c r="J55" s="15" t="str">
        <f>IFERROR(__xludf.DUMMYFUNCTION("""COMPUTED_VALUE"""),"2020 Q1")</f>
        <v>2020 Q1</v>
      </c>
      <c r="K55" s="16"/>
      <c r="L55" s="16">
        <f>IFERROR(__xludf.DUMMYFUNCTION("""COMPUTED_VALUE"""),3620.0)</f>
        <v>3620</v>
      </c>
      <c r="M55" s="16">
        <f>IFERROR(__xludf.DUMMYFUNCTION("""COMPUTED_VALUE"""),371.0)</f>
        <v>371</v>
      </c>
      <c r="N55" s="16"/>
      <c r="O55" s="16">
        <f>IFERROR(__xludf.DUMMYFUNCTION("""COMPUTED_VALUE"""),18115.0)</f>
        <v>18115</v>
      </c>
      <c r="P55" s="16">
        <f>IFERROR(__xludf.DUMMYFUNCTION("""COMPUTED_VALUE"""),1192.0)</f>
        <v>1192</v>
      </c>
      <c r="Q55" s="16"/>
      <c r="R55" s="16">
        <f>IFERROR(__xludf.DUMMYFUNCTION("""COMPUTED_VALUE"""),21235.0)</f>
        <v>21235</v>
      </c>
      <c r="S55" s="16">
        <f>IFERROR(__xludf.DUMMYFUNCTION("""COMPUTED_VALUE"""),2547.0)</f>
        <v>2547</v>
      </c>
      <c r="T55" s="16"/>
      <c r="U55" s="16"/>
      <c r="V55" s="16">
        <f>IFERROR(__xludf.DUMMYFUNCTION("""COMPUTED_VALUE"""),7453.0)</f>
        <v>7453</v>
      </c>
      <c r="W55" s="16">
        <f>IFERROR(__xludf.DUMMYFUNCTION("""COMPUTED_VALUE"""),506.0)</f>
        <v>506</v>
      </c>
      <c r="X55" s="16"/>
      <c r="Y55" s="16"/>
      <c r="Z55" s="16">
        <f>IFERROR(__xludf.DUMMYFUNCTION("""COMPUTED_VALUE"""),23677.0)</f>
        <v>23677</v>
      </c>
      <c r="AA55" s="16">
        <f>IFERROR(__xludf.DUMMYFUNCTION("""COMPUTED_VALUE"""),7614.0)</f>
        <v>7614</v>
      </c>
      <c r="AB55" s="16">
        <f>IFERROR(__xludf.DUMMYFUNCTION("""COMPUTED_VALUE"""),2166.0)</f>
        <v>2166</v>
      </c>
      <c r="AC55" s="17">
        <v>88496.0</v>
      </c>
      <c r="AD55" s="10"/>
      <c r="AE55" s="10"/>
      <c r="AF55" s="10"/>
      <c r="AG55" s="10"/>
      <c r="AH55" s="10"/>
      <c r="AI55" s="10"/>
    </row>
    <row r="56">
      <c r="A56" s="14"/>
      <c r="B56" s="15" t="str">
        <f>IFERROR(__xludf.DUMMYFUNCTION("""COMPUTED_VALUE"""),"2020 Q2")</f>
        <v>2020 Q2</v>
      </c>
      <c r="C56" s="16">
        <f>IFERROR(__xludf.DUMMYFUNCTION("""COMPUTED_VALUE"""),3813.0)</f>
        <v>3813</v>
      </c>
      <c r="D56" s="16">
        <f>IFERROR(__xludf.DUMMYFUNCTION("""COMPUTED_VALUE"""),30918.0)</f>
        <v>30918</v>
      </c>
      <c r="E56" s="16">
        <f>IFERROR(__xludf.DUMMYFUNCTION("""COMPUTED_VALUE"""),13988.0)</f>
        <v>13988</v>
      </c>
      <c r="F56" s="16">
        <f>IFERROR(__xludf.DUMMYFUNCTION("""COMPUTED_VALUE"""),4546.0)</f>
        <v>4546</v>
      </c>
      <c r="G56" s="16">
        <f>IFERROR(__xludf.DUMMYFUNCTION("""COMPUTED_VALUE"""),37626.0)</f>
        <v>37626</v>
      </c>
      <c r="H56" s="17">
        <v>90891.0</v>
      </c>
      <c r="I56" s="14"/>
      <c r="J56" s="15" t="str">
        <f>IFERROR(__xludf.DUMMYFUNCTION("""COMPUTED_VALUE"""),"2020 Q2")</f>
        <v>2020 Q2</v>
      </c>
      <c r="K56" s="16"/>
      <c r="L56" s="16">
        <f>IFERROR(__xludf.DUMMYFUNCTION("""COMPUTED_VALUE"""),3213.0)</f>
        <v>3213</v>
      </c>
      <c r="M56" s="16">
        <f>IFERROR(__xludf.DUMMYFUNCTION("""COMPUTED_VALUE"""),348.0)</f>
        <v>348</v>
      </c>
      <c r="N56" s="16">
        <f>IFERROR(__xludf.DUMMYFUNCTION("""COMPUTED_VALUE"""),252.0)</f>
        <v>252</v>
      </c>
      <c r="O56" s="16">
        <f>IFERROR(__xludf.DUMMYFUNCTION("""COMPUTED_VALUE"""),29990.0)</f>
        <v>29990</v>
      </c>
      <c r="P56" s="16">
        <f>IFERROR(__xludf.DUMMYFUNCTION("""COMPUTED_VALUE"""),928.0)</f>
        <v>928</v>
      </c>
      <c r="Q56" s="16"/>
      <c r="R56" s="16">
        <f>IFERROR(__xludf.DUMMYFUNCTION("""COMPUTED_VALUE"""),11972.0)</f>
        <v>11972</v>
      </c>
      <c r="S56" s="16">
        <f>IFERROR(__xludf.DUMMYFUNCTION("""COMPUTED_VALUE"""),2016.0)</f>
        <v>2016</v>
      </c>
      <c r="T56" s="16"/>
      <c r="U56" s="16"/>
      <c r="V56" s="16">
        <f>IFERROR(__xludf.DUMMYFUNCTION("""COMPUTED_VALUE"""),4336.0)</f>
        <v>4336</v>
      </c>
      <c r="W56" s="16">
        <f>IFERROR(__xludf.DUMMYFUNCTION("""COMPUTED_VALUE"""),210.0)</f>
        <v>210</v>
      </c>
      <c r="X56" s="16"/>
      <c r="Y56" s="16"/>
      <c r="Z56" s="16">
        <f>IFERROR(__xludf.DUMMYFUNCTION("""COMPUTED_VALUE"""),17489.0)</f>
        <v>17489</v>
      </c>
      <c r="AA56" s="16">
        <f>IFERROR(__xludf.DUMMYFUNCTION("""COMPUTED_VALUE"""),7112.0)</f>
        <v>7112</v>
      </c>
      <c r="AB56" s="16">
        <f>IFERROR(__xludf.DUMMYFUNCTION("""COMPUTED_VALUE"""),13025.0)</f>
        <v>13025</v>
      </c>
      <c r="AC56" s="17">
        <v>90891.0</v>
      </c>
      <c r="AD56" s="10"/>
      <c r="AE56" s="10"/>
      <c r="AF56" s="10"/>
      <c r="AG56" s="10"/>
      <c r="AH56" s="10"/>
      <c r="AI56" s="10"/>
    </row>
    <row r="57">
      <c r="A57" s="14"/>
      <c r="B57" s="15" t="str">
        <f>IFERROR(__xludf.DUMMYFUNCTION("""COMPUTED_VALUE"""),"2020 Q3")</f>
        <v>2020 Q3</v>
      </c>
      <c r="C57" s="16">
        <f>IFERROR(__xludf.DUMMYFUNCTION("""COMPUTED_VALUE"""),5439.0)</f>
        <v>5439</v>
      </c>
      <c r="D57" s="16">
        <f>IFERROR(__xludf.DUMMYFUNCTION("""COMPUTED_VALUE"""),36732.0)</f>
        <v>36732</v>
      </c>
      <c r="E57" s="16">
        <f>IFERROR(__xludf.DUMMYFUNCTION("""COMPUTED_VALUE"""),27306.0)</f>
        <v>27306</v>
      </c>
      <c r="F57" s="16">
        <f>IFERROR(__xludf.DUMMYFUNCTION("""COMPUTED_VALUE"""),8386.0)</f>
        <v>8386</v>
      </c>
      <c r="G57" s="16">
        <f>IFERROR(__xludf.DUMMYFUNCTION("""COMPUTED_VALUE"""),61730.0)</f>
        <v>61730</v>
      </c>
      <c r="H57" s="17">
        <v>139593.0</v>
      </c>
      <c r="I57" s="14"/>
      <c r="J57" s="15" t="str">
        <f>IFERROR(__xludf.DUMMYFUNCTION("""COMPUTED_VALUE"""),"2020 Q3")</f>
        <v>2020 Q3</v>
      </c>
      <c r="K57" s="16"/>
      <c r="L57" s="16">
        <f>IFERROR(__xludf.DUMMYFUNCTION("""COMPUTED_VALUE"""),3873.0)</f>
        <v>3873</v>
      </c>
      <c r="M57" s="16">
        <f>IFERROR(__xludf.DUMMYFUNCTION("""COMPUTED_VALUE"""),401.0)</f>
        <v>401</v>
      </c>
      <c r="N57" s="16">
        <f>IFERROR(__xludf.DUMMYFUNCTION("""COMPUTED_VALUE"""),1165.0)</f>
        <v>1165</v>
      </c>
      <c r="O57" s="16">
        <f>IFERROR(__xludf.DUMMYFUNCTION("""COMPUTED_VALUE"""),34246.0)</f>
        <v>34246</v>
      </c>
      <c r="P57" s="16">
        <f>IFERROR(__xludf.DUMMYFUNCTION("""COMPUTED_VALUE"""),2486.0)</f>
        <v>2486</v>
      </c>
      <c r="Q57" s="16"/>
      <c r="R57" s="16">
        <f>IFERROR(__xludf.DUMMYFUNCTION("""COMPUTED_VALUE"""),24074.0)</f>
        <v>24074</v>
      </c>
      <c r="S57" s="16">
        <f>IFERROR(__xludf.DUMMYFUNCTION("""COMPUTED_VALUE"""),3232.0)</f>
        <v>3232</v>
      </c>
      <c r="T57" s="16"/>
      <c r="U57" s="16"/>
      <c r="V57" s="16">
        <f>IFERROR(__xludf.DUMMYFUNCTION("""COMPUTED_VALUE"""),7296.0)</f>
        <v>7296</v>
      </c>
      <c r="W57" s="16">
        <f>IFERROR(__xludf.DUMMYFUNCTION("""COMPUTED_VALUE"""),1090.0)</f>
        <v>1090</v>
      </c>
      <c r="X57" s="16"/>
      <c r="Y57" s="16"/>
      <c r="Z57" s="16">
        <f>IFERROR(__xludf.DUMMYFUNCTION("""COMPUTED_VALUE"""),22511.0)</f>
        <v>22511</v>
      </c>
      <c r="AA57" s="16">
        <f>IFERROR(__xludf.DUMMYFUNCTION("""COMPUTED_VALUE"""),8066.0)</f>
        <v>8066</v>
      </c>
      <c r="AB57" s="16">
        <f>IFERROR(__xludf.DUMMYFUNCTION("""COMPUTED_VALUE"""),31153.0)</f>
        <v>31153</v>
      </c>
      <c r="AC57" s="17">
        <v>139593.0</v>
      </c>
      <c r="AD57" s="10"/>
      <c r="AE57" s="10"/>
      <c r="AF57" s="10"/>
      <c r="AG57" s="10"/>
      <c r="AH57" s="10"/>
      <c r="AI57" s="10"/>
    </row>
    <row r="58">
      <c r="A58" s="14"/>
      <c r="B58" s="15" t="str">
        <f>IFERROR(__xludf.DUMMYFUNCTION("""COMPUTED_VALUE"""),"2020 Q4")</f>
        <v>2020 Q4</v>
      </c>
      <c r="C58" s="16">
        <f>IFERROR(__xludf.DUMMYFUNCTION("""COMPUTED_VALUE"""),5159.0)</f>
        <v>5159</v>
      </c>
      <c r="D58" s="16">
        <f>IFERROR(__xludf.DUMMYFUNCTION("""COMPUTED_VALUE"""),59513.0)</f>
        <v>59513</v>
      </c>
      <c r="E58" s="16">
        <f>IFERROR(__xludf.DUMMYFUNCTION("""COMPUTED_VALUE"""),34110.0)</f>
        <v>34110</v>
      </c>
      <c r="F58" s="16">
        <f>IFERROR(__xludf.DUMMYFUNCTION("""COMPUTED_VALUE"""),6298.0)</f>
        <v>6298</v>
      </c>
      <c r="G58" s="16">
        <f>IFERROR(__xludf.DUMMYFUNCTION("""COMPUTED_VALUE"""),75587.0)</f>
        <v>75587</v>
      </c>
      <c r="H58" s="17">
        <v>180667.0</v>
      </c>
      <c r="I58" s="14"/>
      <c r="J58" s="15" t="str">
        <f>IFERROR(__xludf.DUMMYFUNCTION("""COMPUTED_VALUE"""),"2020 Q4")</f>
        <v>2020 Q4</v>
      </c>
      <c r="K58" s="16"/>
      <c r="L58" s="16">
        <f>IFERROR(__xludf.DUMMYFUNCTION("""COMPUTED_VALUE"""),3388.0)</f>
        <v>3388</v>
      </c>
      <c r="M58" s="16">
        <f>IFERROR(__xludf.DUMMYFUNCTION("""COMPUTED_VALUE"""),590.0)</f>
        <v>590</v>
      </c>
      <c r="N58" s="16">
        <f>IFERROR(__xludf.DUMMYFUNCTION("""COMPUTED_VALUE"""),1181.0)</f>
        <v>1181</v>
      </c>
      <c r="O58" s="16">
        <f>IFERROR(__xludf.DUMMYFUNCTION("""COMPUTED_VALUE"""),57586.0)</f>
        <v>57586</v>
      </c>
      <c r="P58" s="16">
        <f>IFERROR(__xludf.DUMMYFUNCTION("""COMPUTED_VALUE"""),1927.0)</f>
        <v>1927</v>
      </c>
      <c r="Q58" s="16"/>
      <c r="R58" s="16">
        <f>IFERROR(__xludf.DUMMYFUNCTION("""COMPUTED_VALUE"""),30695.0)</f>
        <v>30695</v>
      </c>
      <c r="S58" s="16">
        <f>IFERROR(__xludf.DUMMYFUNCTION("""COMPUTED_VALUE"""),3415.0)</f>
        <v>3415</v>
      </c>
      <c r="T58" s="16"/>
      <c r="U58" s="16"/>
      <c r="V58" s="16">
        <f>IFERROR(__xludf.DUMMYFUNCTION("""COMPUTED_VALUE"""),5390.0)</f>
        <v>5390</v>
      </c>
      <c r="W58" s="16">
        <f>IFERROR(__xludf.DUMMYFUNCTION("""COMPUTED_VALUE"""),908.0)</f>
        <v>908</v>
      </c>
      <c r="X58" s="16"/>
      <c r="Y58" s="16"/>
      <c r="Z58" s="16">
        <f>IFERROR(__xludf.DUMMYFUNCTION("""COMPUTED_VALUE"""),26091.0)</f>
        <v>26091</v>
      </c>
      <c r="AA58" s="16">
        <f>IFERROR(__xludf.DUMMYFUNCTION("""COMPUTED_VALUE"""),12126.0)</f>
        <v>12126</v>
      </c>
      <c r="AB58" s="16">
        <f>IFERROR(__xludf.DUMMYFUNCTION("""COMPUTED_VALUE"""),37370.0)</f>
        <v>37370</v>
      </c>
      <c r="AC58" s="17">
        <v>180667.0</v>
      </c>
      <c r="AD58" s="10"/>
      <c r="AE58" s="10"/>
      <c r="AF58" s="10"/>
      <c r="AG58" s="10"/>
      <c r="AH58" s="10"/>
      <c r="AI58" s="10"/>
    </row>
    <row r="59">
      <c r="A59" s="14"/>
      <c r="B59" s="15" t="str">
        <f>IFERROR(__xludf.DUMMYFUNCTION("""COMPUTED_VALUE"""),"2021 Q1")</f>
        <v>2021 Q1</v>
      </c>
      <c r="C59" s="16">
        <f>IFERROR(__xludf.DUMMYFUNCTION("""COMPUTED_VALUE"""),5582.0)</f>
        <v>5582</v>
      </c>
      <c r="D59" s="16">
        <f>IFERROR(__xludf.DUMMYFUNCTION("""COMPUTED_VALUE"""),69711.0)</f>
        <v>69711</v>
      </c>
      <c r="E59" s="16">
        <f>IFERROR(__xludf.DUMMYFUNCTION("""COMPUTED_VALUE"""),31530.0)</f>
        <v>31530</v>
      </c>
      <c r="F59" s="16">
        <f>IFERROR(__xludf.DUMMYFUNCTION("""COMPUTED_VALUE"""),9223.0)</f>
        <v>9223</v>
      </c>
      <c r="G59" s="16">
        <f>IFERROR(__xludf.DUMMYFUNCTION("""COMPUTED_VALUE"""),68831.0)</f>
        <v>68831</v>
      </c>
      <c r="H59" s="17">
        <v>184877.0</v>
      </c>
      <c r="I59" s="14"/>
      <c r="J59" s="15" t="str">
        <f>IFERROR(__xludf.DUMMYFUNCTION("""COMPUTED_VALUE"""),"2021 Q1")</f>
        <v>2021 Q1</v>
      </c>
      <c r="K59" s="16"/>
      <c r="L59" s="16">
        <f>IFERROR(__xludf.DUMMYFUNCTION("""COMPUTED_VALUE"""),2904.0)</f>
        <v>2904</v>
      </c>
      <c r="M59" s="16">
        <f>IFERROR(__xludf.DUMMYFUNCTION("""COMPUTED_VALUE"""),70.0)</f>
        <v>70</v>
      </c>
      <c r="N59" s="16">
        <f>IFERROR(__xludf.DUMMYFUNCTION("""COMPUTED_VALUE"""),2608.0)</f>
        <v>2608</v>
      </c>
      <c r="O59" s="16">
        <f>IFERROR(__xludf.DUMMYFUNCTION("""COMPUTED_VALUE"""),52858.0)</f>
        <v>52858</v>
      </c>
      <c r="P59" s="16">
        <f>IFERROR(__xludf.DUMMYFUNCTION("""COMPUTED_VALUE"""),431.0)</f>
        <v>431</v>
      </c>
      <c r="Q59" s="16">
        <f>IFERROR(__xludf.DUMMYFUNCTION("""COMPUTED_VALUE"""),16422.0)</f>
        <v>16422</v>
      </c>
      <c r="R59" s="16">
        <f>IFERROR(__xludf.DUMMYFUNCTION("""COMPUTED_VALUE"""),31246.0)</f>
        <v>31246</v>
      </c>
      <c r="S59" s="16">
        <f>IFERROR(__xludf.DUMMYFUNCTION("""COMPUTED_VALUE"""),284.0)</f>
        <v>284</v>
      </c>
      <c r="T59" s="16"/>
      <c r="U59" s="16"/>
      <c r="V59" s="16">
        <f>IFERROR(__xludf.DUMMYFUNCTION("""COMPUTED_VALUE"""),9115.0)</f>
        <v>9115</v>
      </c>
      <c r="W59" s="16">
        <f>IFERROR(__xludf.DUMMYFUNCTION("""COMPUTED_VALUE"""),88.0)</f>
        <v>88</v>
      </c>
      <c r="X59" s="16">
        <f>IFERROR(__xludf.DUMMYFUNCTION("""COMPUTED_VALUE"""),20.0)</f>
        <v>20</v>
      </c>
      <c r="Y59" s="16"/>
      <c r="Z59" s="16">
        <f>IFERROR(__xludf.DUMMYFUNCTION("""COMPUTED_VALUE"""),25177.0)</f>
        <v>25177</v>
      </c>
      <c r="AA59" s="16">
        <f>IFERROR(__xludf.DUMMYFUNCTION("""COMPUTED_VALUE"""),1157.0)</f>
        <v>1157</v>
      </c>
      <c r="AB59" s="16">
        <f>IFERROR(__xludf.DUMMYFUNCTION("""COMPUTED_VALUE"""),42497.0)</f>
        <v>42497</v>
      </c>
      <c r="AC59" s="17">
        <v>184877.0</v>
      </c>
      <c r="AD59" s="10"/>
      <c r="AE59" s="10"/>
      <c r="AF59" s="10"/>
      <c r="AG59" s="10"/>
      <c r="AH59" s="10"/>
      <c r="AI59" s="10"/>
    </row>
    <row r="60">
      <c r="A60" s="14"/>
      <c r="B60" s="15" t="str">
        <f>IFERROR(__xludf.DUMMYFUNCTION("""COMPUTED_VALUE"""),"2021 Q2")</f>
        <v>2021 Q2</v>
      </c>
      <c r="C60" s="16">
        <f>IFERROR(__xludf.DUMMYFUNCTION("""COMPUTED_VALUE"""),6522.0)</f>
        <v>6522</v>
      </c>
      <c r="D60" s="16">
        <f>IFERROR(__xludf.DUMMYFUNCTION("""COMPUTED_VALUE"""),61800.0)</f>
        <v>61800</v>
      </c>
      <c r="E60" s="16">
        <f>IFERROR(__xludf.DUMMYFUNCTION("""COMPUTED_VALUE"""),36480.0)</f>
        <v>36480</v>
      </c>
      <c r="F60" s="16">
        <f>IFERROR(__xludf.DUMMYFUNCTION("""COMPUTED_VALUE"""),19293.0)</f>
        <v>19293</v>
      </c>
      <c r="G60" s="16">
        <f>IFERROR(__xludf.DUMMYFUNCTION("""COMPUTED_VALUE"""),77209.0)</f>
        <v>77209</v>
      </c>
      <c r="H60" s="17">
        <v>201304.0</v>
      </c>
      <c r="I60" s="14"/>
      <c r="J60" s="15" t="str">
        <f>IFERROR(__xludf.DUMMYFUNCTION("""COMPUTED_VALUE"""),"2021 Q2")</f>
        <v>2021 Q2</v>
      </c>
      <c r="K60" s="16"/>
      <c r="L60" s="16">
        <f>IFERROR(__xludf.DUMMYFUNCTION("""COMPUTED_VALUE"""),4218.0)</f>
        <v>4218</v>
      </c>
      <c r="M60" s="16">
        <f>IFERROR(__xludf.DUMMYFUNCTION("""COMPUTED_VALUE"""),0.0)</f>
        <v>0</v>
      </c>
      <c r="N60" s="16">
        <f>IFERROR(__xludf.DUMMYFUNCTION("""COMPUTED_VALUE"""),2304.0)</f>
        <v>2304</v>
      </c>
      <c r="O60" s="16">
        <f>IFERROR(__xludf.DUMMYFUNCTION("""COMPUTED_VALUE"""),31987.0)</f>
        <v>31987</v>
      </c>
      <c r="P60" s="16">
        <f>IFERROR(__xludf.DUMMYFUNCTION("""COMPUTED_VALUE"""),55.0)</f>
        <v>55</v>
      </c>
      <c r="Q60" s="16">
        <f>IFERROR(__xludf.DUMMYFUNCTION("""COMPUTED_VALUE"""),29758.0)</f>
        <v>29758</v>
      </c>
      <c r="R60" s="16">
        <f>IFERROR(__xludf.DUMMYFUNCTION("""COMPUTED_VALUE"""),36465.0)</f>
        <v>36465</v>
      </c>
      <c r="S60" s="16">
        <f>IFERROR(__xludf.DUMMYFUNCTION("""COMPUTED_VALUE"""),15.0)</f>
        <v>15</v>
      </c>
      <c r="T60" s="16"/>
      <c r="U60" s="16"/>
      <c r="V60" s="16">
        <f>IFERROR(__xludf.DUMMYFUNCTION("""COMPUTED_VALUE"""),13955.0)</f>
        <v>13955</v>
      </c>
      <c r="W60" s="16">
        <f>IFERROR(__xludf.DUMMYFUNCTION("""COMPUTED_VALUE"""),15.0)</f>
        <v>15</v>
      </c>
      <c r="X60" s="16">
        <f>IFERROR(__xludf.DUMMYFUNCTION("""COMPUTED_VALUE"""),5323.0)</f>
        <v>5323</v>
      </c>
      <c r="Y60" s="16"/>
      <c r="Z60" s="16">
        <f>IFERROR(__xludf.DUMMYFUNCTION("""COMPUTED_VALUE"""),28700.0)</f>
        <v>28700</v>
      </c>
      <c r="AA60" s="16">
        <f>IFERROR(__xludf.DUMMYFUNCTION("""COMPUTED_VALUE"""),1810.0)</f>
        <v>1810</v>
      </c>
      <c r="AB60" s="16">
        <f>IFERROR(__xludf.DUMMYFUNCTION("""COMPUTED_VALUE"""),46699.0)</f>
        <v>46699</v>
      </c>
      <c r="AC60" s="17">
        <v>201304.0</v>
      </c>
      <c r="AD60" s="10"/>
      <c r="AE60" s="10"/>
      <c r="AF60" s="10"/>
      <c r="AG60" s="10"/>
      <c r="AH60" s="10"/>
      <c r="AI60" s="10"/>
    </row>
    <row r="61">
      <c r="A61" s="14"/>
      <c r="B61" s="15" t="str">
        <f>IFERROR(__xludf.DUMMYFUNCTION("""COMPUTED_VALUE"""),"2021 Q3")</f>
        <v>2021 Q3</v>
      </c>
      <c r="C61" s="16">
        <f>IFERROR(__xludf.DUMMYFUNCTION("""COMPUTED_VALUE"""),7144.0)</f>
        <v>7144</v>
      </c>
      <c r="D61" s="16">
        <f>IFERROR(__xludf.DUMMYFUNCTION("""COMPUTED_VALUE"""),73699.0)</f>
        <v>73699</v>
      </c>
      <c r="E61" s="16">
        <f>IFERROR(__xludf.DUMMYFUNCTION("""COMPUTED_VALUE"""),46344.0)</f>
        <v>46344</v>
      </c>
      <c r="F61" s="16">
        <f>IFERROR(__xludf.DUMMYFUNCTION("""COMPUTED_VALUE"""),16916.0)</f>
        <v>16916</v>
      </c>
      <c r="G61" s="16">
        <f>IFERROR(__xludf.DUMMYFUNCTION("""COMPUTED_VALUE"""),97288.0)</f>
        <v>97288</v>
      </c>
      <c r="H61" s="17">
        <v>241391.0</v>
      </c>
      <c r="I61" s="14"/>
      <c r="J61" s="15" t="str">
        <f>IFERROR(__xludf.DUMMYFUNCTION("""COMPUTED_VALUE"""),"2021 Q3")</f>
        <v>2021 Q3</v>
      </c>
      <c r="K61" s="16"/>
      <c r="L61" s="16">
        <f>IFERROR(__xludf.DUMMYFUNCTION("""COMPUTED_VALUE"""),4685.0)</f>
        <v>4685</v>
      </c>
      <c r="M61" s="16">
        <f>IFERROR(__xludf.DUMMYFUNCTION("""COMPUTED_VALUE"""),0.0)</f>
        <v>0</v>
      </c>
      <c r="N61" s="16">
        <f>IFERROR(__xludf.DUMMYFUNCTION("""COMPUTED_VALUE"""),2459.0)</f>
        <v>2459</v>
      </c>
      <c r="O61" s="16">
        <f>IFERROR(__xludf.DUMMYFUNCTION("""COMPUTED_VALUE"""),26906.0)</f>
        <v>26906</v>
      </c>
      <c r="P61" s="16">
        <f>IFERROR(__xludf.DUMMYFUNCTION("""COMPUTED_VALUE"""),40.0)</f>
        <v>40</v>
      </c>
      <c r="Q61" s="16">
        <f>IFERROR(__xludf.DUMMYFUNCTION("""COMPUTED_VALUE"""),46753.0)</f>
        <v>46753</v>
      </c>
      <c r="R61" s="16">
        <f>IFERROR(__xludf.DUMMYFUNCTION("""COMPUTED_VALUE"""),33935.0)</f>
        <v>33935</v>
      </c>
      <c r="S61" s="16">
        <f>IFERROR(__xludf.DUMMYFUNCTION("""COMPUTED_VALUE"""),7.0)</f>
        <v>7</v>
      </c>
      <c r="T61" s="16">
        <f>IFERROR(__xludf.DUMMYFUNCTION("""COMPUTED_VALUE"""),12402.0)</f>
        <v>12402</v>
      </c>
      <c r="U61" s="16"/>
      <c r="V61" s="16">
        <f>IFERROR(__xludf.DUMMYFUNCTION("""COMPUTED_VALUE"""),13280.0)</f>
        <v>13280</v>
      </c>
      <c r="W61" s="16">
        <f>IFERROR(__xludf.DUMMYFUNCTION("""COMPUTED_VALUE"""),0.0)</f>
        <v>0</v>
      </c>
      <c r="X61" s="16">
        <f>IFERROR(__xludf.DUMMYFUNCTION("""COMPUTED_VALUE"""),3636.0)</f>
        <v>3636</v>
      </c>
      <c r="Y61" s="16"/>
      <c r="Z61" s="16">
        <f>IFERROR(__xludf.DUMMYFUNCTION("""COMPUTED_VALUE"""),46750.0)</f>
        <v>46750</v>
      </c>
      <c r="AA61" s="16">
        <f>IFERROR(__xludf.DUMMYFUNCTION("""COMPUTED_VALUE"""),9242.0)</f>
        <v>9242</v>
      </c>
      <c r="AB61" s="16">
        <f>IFERROR(__xludf.DUMMYFUNCTION("""COMPUTED_VALUE"""),41296.0)</f>
        <v>41296</v>
      </c>
      <c r="AC61" s="17">
        <v>241391.0</v>
      </c>
      <c r="AD61" s="10"/>
      <c r="AE61" s="10"/>
      <c r="AF61" s="10"/>
      <c r="AG61" s="10"/>
      <c r="AH61" s="10"/>
      <c r="AI61" s="10"/>
    </row>
    <row r="62">
      <c r="A62" s="14"/>
      <c r="B62" s="15" t="str">
        <f>IFERROR(__xludf.DUMMYFUNCTION("""COMPUTED_VALUE"""),"2021 Q4")</f>
        <v>2021 Q4</v>
      </c>
      <c r="C62" s="16">
        <f>IFERROR(__xludf.DUMMYFUNCTION("""COMPUTED_VALUE"""),7121.0)</f>
        <v>7121</v>
      </c>
      <c r="D62" s="16">
        <f>IFERROR(__xludf.DUMMYFUNCTION("""COMPUTED_VALUE"""),116060.0)</f>
        <v>116060</v>
      </c>
      <c r="E62" s="16">
        <f>IFERROR(__xludf.DUMMYFUNCTION("""COMPUTED_VALUE"""),54997.0)</f>
        <v>54997</v>
      </c>
      <c r="F62" s="16">
        <f>IFERROR(__xludf.DUMMYFUNCTION("""COMPUTED_VALUE"""),13795.0)</f>
        <v>13795</v>
      </c>
      <c r="G62" s="16">
        <f>IFERROR(__xludf.DUMMYFUNCTION("""COMPUTED_VALUE"""),116677.0)</f>
        <v>116677</v>
      </c>
      <c r="H62" s="17">
        <v>308650.0</v>
      </c>
      <c r="I62" s="14"/>
      <c r="J62" s="15" t="str">
        <f>IFERROR(__xludf.DUMMYFUNCTION("""COMPUTED_VALUE"""),"2021 Q4")</f>
        <v>2021 Q4</v>
      </c>
      <c r="K62" s="16"/>
      <c r="L62" s="16">
        <f>IFERROR(__xludf.DUMMYFUNCTION("""COMPUTED_VALUE"""),3795.0)</f>
        <v>3795</v>
      </c>
      <c r="M62" s="16">
        <f>IFERROR(__xludf.DUMMYFUNCTION("""COMPUTED_VALUE"""),573.0)</f>
        <v>573</v>
      </c>
      <c r="N62" s="16">
        <f>IFERROR(__xludf.DUMMYFUNCTION("""COMPUTED_VALUE"""),2753.0)</f>
        <v>2753</v>
      </c>
      <c r="O62" s="16">
        <f>IFERROR(__xludf.DUMMYFUNCTION("""COMPUTED_VALUE"""),39139.0)</f>
        <v>39139</v>
      </c>
      <c r="P62" s="16">
        <f>IFERROR(__xludf.DUMMYFUNCTION("""COMPUTED_VALUE"""),1.0)</f>
        <v>1</v>
      </c>
      <c r="Q62" s="16">
        <f>IFERROR(__xludf.DUMMYFUNCTION("""COMPUTED_VALUE"""),76920.0)</f>
        <v>76920</v>
      </c>
      <c r="R62" s="16">
        <f>IFERROR(__xludf.DUMMYFUNCTION("""COMPUTED_VALUE"""),42018.0)</f>
        <v>42018</v>
      </c>
      <c r="S62" s="16">
        <f>IFERROR(__xludf.DUMMYFUNCTION("""COMPUTED_VALUE"""),4.0)</f>
        <v>4</v>
      </c>
      <c r="T62" s="16">
        <f>IFERROR(__xludf.DUMMYFUNCTION("""COMPUTED_VALUE"""),12975.0)</f>
        <v>12975</v>
      </c>
      <c r="U62" s="16"/>
      <c r="V62" s="16">
        <f>IFERROR(__xludf.DUMMYFUNCTION("""COMPUTED_VALUE"""),10901.0)</f>
        <v>10901</v>
      </c>
      <c r="W62" s="16">
        <f>IFERROR(__xludf.DUMMYFUNCTION("""COMPUTED_VALUE"""),0.0)</f>
        <v>0</v>
      </c>
      <c r="X62" s="16">
        <f>IFERROR(__xludf.DUMMYFUNCTION("""COMPUTED_VALUE"""),2894.0)</f>
        <v>2894</v>
      </c>
      <c r="Y62" s="16"/>
      <c r="Z62" s="16">
        <f>IFERROR(__xludf.DUMMYFUNCTION("""COMPUTED_VALUE"""),52150.0)</f>
        <v>52150</v>
      </c>
      <c r="AA62" s="16">
        <f>IFERROR(__xludf.DUMMYFUNCTION("""COMPUTED_VALUE"""),11188.0)</f>
        <v>11188</v>
      </c>
      <c r="AB62" s="16">
        <f>IFERROR(__xludf.DUMMYFUNCTION("""COMPUTED_VALUE"""),53339.0)</f>
        <v>53339</v>
      </c>
      <c r="AC62" s="17">
        <v>308650.0</v>
      </c>
      <c r="AD62" s="10"/>
      <c r="AE62" s="10"/>
      <c r="AF62" s="10"/>
      <c r="AG62" s="10"/>
      <c r="AH62" s="10"/>
      <c r="AI62" s="10"/>
    </row>
    <row r="63">
      <c r="A63" s="14"/>
      <c r="B63" s="15" t="str">
        <f>IFERROR(__xludf.DUMMYFUNCTION("""COMPUTED_VALUE"""),"2022 Q1")</f>
        <v>2022 Q1</v>
      </c>
      <c r="C63" s="16">
        <f>IFERROR(__xludf.DUMMYFUNCTION("""COMPUTED_VALUE"""),11843.0)</f>
        <v>11843</v>
      </c>
      <c r="D63" s="16">
        <f>IFERROR(__xludf.DUMMYFUNCTION("""COMPUTED_VALUE"""),108300.0)</f>
        <v>108300</v>
      </c>
      <c r="E63" s="16">
        <f>IFERROR(__xludf.DUMMYFUNCTION("""COMPUTED_VALUE"""),59603.0)</f>
        <v>59603</v>
      </c>
      <c r="F63" s="16">
        <f>IFERROR(__xludf.DUMMYFUNCTION("""COMPUTED_VALUE"""),18255.0)</f>
        <v>18255</v>
      </c>
      <c r="G63" s="16">
        <f>IFERROR(__xludf.DUMMYFUNCTION("""COMPUTED_VALUE"""),112047.0)</f>
        <v>112047</v>
      </c>
      <c r="H63" s="17">
        <v>310048.0</v>
      </c>
      <c r="I63" s="14"/>
      <c r="J63" s="15" t="str">
        <f>IFERROR(__xludf.DUMMYFUNCTION("""COMPUTED_VALUE"""),"2022 Q1")</f>
        <v>2022 Q1</v>
      </c>
      <c r="K63" s="16"/>
      <c r="L63" s="16">
        <f>IFERROR(__xludf.DUMMYFUNCTION("""COMPUTED_VALUE"""),7103.0)</f>
        <v>7103</v>
      </c>
      <c r="M63" s="16">
        <f>IFERROR(__xludf.DUMMYFUNCTION("""COMPUTED_VALUE"""),712.0)</f>
        <v>712</v>
      </c>
      <c r="N63" s="16">
        <f>IFERROR(__xludf.DUMMYFUNCTION("""COMPUTED_VALUE"""),4028.0)</f>
        <v>4028</v>
      </c>
      <c r="O63" s="16">
        <f>IFERROR(__xludf.DUMMYFUNCTION("""COMPUTED_VALUE"""),33619.0)</f>
        <v>33619</v>
      </c>
      <c r="P63" s="16">
        <f>IFERROR(__xludf.DUMMYFUNCTION("""COMPUTED_VALUE"""),0.0)</f>
        <v>0</v>
      </c>
      <c r="Q63" s="16">
        <f>IFERROR(__xludf.DUMMYFUNCTION("""COMPUTED_VALUE"""),74681.0)</f>
        <v>74681</v>
      </c>
      <c r="R63" s="16">
        <f>IFERROR(__xludf.DUMMYFUNCTION("""COMPUTED_VALUE"""),32716.0)</f>
        <v>32716</v>
      </c>
      <c r="S63" s="16">
        <f>IFERROR(__xludf.DUMMYFUNCTION("""COMPUTED_VALUE"""),11.0)</f>
        <v>11</v>
      </c>
      <c r="T63" s="16">
        <f>IFERROR(__xludf.DUMMYFUNCTION("""COMPUTED_VALUE"""),26876.0)</f>
        <v>26876</v>
      </c>
      <c r="U63" s="16"/>
      <c r="V63" s="16">
        <f>IFERROR(__xludf.DUMMYFUNCTION("""COMPUTED_VALUE"""),14361.0)</f>
        <v>14361</v>
      </c>
      <c r="W63" s="16">
        <f>IFERROR(__xludf.DUMMYFUNCTION("""COMPUTED_VALUE"""),0.0)</f>
        <v>0</v>
      </c>
      <c r="X63" s="16">
        <f>IFERROR(__xludf.DUMMYFUNCTION("""COMPUTED_VALUE"""),3894.0)</f>
        <v>3894</v>
      </c>
      <c r="Y63" s="16"/>
      <c r="Z63" s="16">
        <f>IFERROR(__xludf.DUMMYFUNCTION("""COMPUTED_VALUE"""),46000.0)</f>
        <v>46000</v>
      </c>
      <c r="AA63" s="16">
        <f>IFERROR(__xludf.DUMMYFUNCTION("""COMPUTED_VALUE"""),14001.0)</f>
        <v>14001</v>
      </c>
      <c r="AB63" s="16">
        <f>IFERROR(__xludf.DUMMYFUNCTION("""COMPUTED_VALUE"""),52046.0)</f>
        <v>52046</v>
      </c>
      <c r="AC63" s="17">
        <v>310048.0</v>
      </c>
      <c r="AD63" s="10"/>
      <c r="AE63" s="10"/>
      <c r="AF63" s="10"/>
      <c r="AG63" s="10"/>
      <c r="AH63" s="10"/>
      <c r="AI63" s="10"/>
    </row>
    <row r="64">
      <c r="A64" s="14"/>
      <c r="B64" s="15" t="str">
        <f>IFERROR(__xludf.DUMMYFUNCTION("""COMPUTED_VALUE"""),"2022 Q2")</f>
        <v>2022 Q2</v>
      </c>
      <c r="C64" s="16">
        <f>IFERROR(__xludf.DUMMYFUNCTION("""COMPUTED_VALUE"""),10401.0)</f>
        <v>10401</v>
      </c>
      <c r="D64" s="16">
        <f>IFERROR(__xludf.DUMMYFUNCTION("""COMPUTED_VALUE"""),89275.0)</f>
        <v>89275</v>
      </c>
      <c r="E64" s="16">
        <f>IFERROR(__xludf.DUMMYFUNCTION("""COMPUTED_VALUE"""),26220.0)</f>
        <v>26220</v>
      </c>
      <c r="F64" s="16">
        <f>IFERROR(__xludf.DUMMYFUNCTION("""COMPUTED_VALUE"""),10901.0)</f>
        <v>10901</v>
      </c>
      <c r="G64" s="16">
        <f>IFERROR(__xludf.DUMMYFUNCTION("""COMPUTED_VALUE"""),117898.0)</f>
        <v>117898</v>
      </c>
      <c r="H64" s="17">
        <v>254695.0</v>
      </c>
      <c r="I64" s="14"/>
      <c r="J64" s="15" t="str">
        <f>IFERROR(__xludf.DUMMYFUNCTION("""COMPUTED_VALUE"""),"2022 Q2")</f>
        <v>2022 Q2</v>
      </c>
      <c r="K64" s="16"/>
      <c r="L64" s="16">
        <f>IFERROR(__xludf.DUMMYFUNCTION("""COMPUTED_VALUE"""),5204.0)</f>
        <v>5204</v>
      </c>
      <c r="M64" s="16">
        <f>IFERROR(__xludf.DUMMYFUNCTION("""COMPUTED_VALUE"""),784.0)</f>
        <v>784</v>
      </c>
      <c r="N64" s="16">
        <f>IFERROR(__xludf.DUMMYFUNCTION("""COMPUTED_VALUE"""),4413.0)</f>
        <v>4413</v>
      </c>
      <c r="O64" s="16">
        <f>IFERROR(__xludf.DUMMYFUNCTION("""COMPUTED_VALUE"""),30290.0)</f>
        <v>30290</v>
      </c>
      <c r="P64" s="16">
        <f>IFERROR(__xludf.DUMMYFUNCTION("""COMPUTED_VALUE"""),0.0)</f>
        <v>0</v>
      </c>
      <c r="Q64" s="16">
        <f>IFERROR(__xludf.DUMMYFUNCTION("""COMPUTED_VALUE"""),58985.0)</f>
        <v>58985</v>
      </c>
      <c r="R64" s="16">
        <f>IFERROR(__xludf.DUMMYFUNCTION("""COMPUTED_VALUE"""),7432.0)</f>
        <v>7432</v>
      </c>
      <c r="S64" s="16">
        <f>IFERROR(__xludf.DUMMYFUNCTION("""COMPUTED_VALUE"""),10.0)</f>
        <v>10</v>
      </c>
      <c r="T64" s="16">
        <f>IFERROR(__xludf.DUMMYFUNCTION("""COMPUTED_VALUE"""),18778.0)</f>
        <v>18778</v>
      </c>
      <c r="U64" s="16"/>
      <c r="V64" s="16">
        <f>IFERROR(__xludf.DUMMYFUNCTION("""COMPUTED_VALUE"""),6302.0)</f>
        <v>6302</v>
      </c>
      <c r="W64" s="16">
        <f>IFERROR(__xludf.DUMMYFUNCTION("""COMPUTED_VALUE"""),0.0)</f>
        <v>0</v>
      </c>
      <c r="X64" s="16">
        <f>IFERROR(__xludf.DUMMYFUNCTION("""COMPUTED_VALUE"""),4599.0)</f>
        <v>4599</v>
      </c>
      <c r="Y64" s="16"/>
      <c r="Z64" s="16">
        <f>IFERROR(__xludf.DUMMYFUNCTION("""COMPUTED_VALUE"""),47240.0)</f>
        <v>47240</v>
      </c>
      <c r="AA64" s="16">
        <f>IFERROR(__xludf.DUMMYFUNCTION("""COMPUTED_VALUE"""),15368.0)</f>
        <v>15368</v>
      </c>
      <c r="AB64" s="16">
        <f>IFERROR(__xludf.DUMMYFUNCTION("""COMPUTED_VALUE"""),55290.0)</f>
        <v>55290</v>
      </c>
      <c r="AC64" s="17">
        <v>254695.0</v>
      </c>
      <c r="AD64" s="10"/>
      <c r="AE64" s="10"/>
      <c r="AF64" s="10"/>
      <c r="AG64" s="10"/>
      <c r="AH64" s="10"/>
      <c r="AI64" s="10"/>
    </row>
    <row r="65">
      <c r="A65" s="14"/>
      <c r="B65" s="15" t="str">
        <f>IFERROR(__xludf.DUMMYFUNCTION("""COMPUTED_VALUE"""),"2022 Q3")</f>
        <v>2022 Q3</v>
      </c>
      <c r="C65" s="16">
        <f>IFERROR(__xludf.DUMMYFUNCTION("""COMPUTED_VALUE"""),13260.0)</f>
        <v>13260</v>
      </c>
      <c r="D65" s="16">
        <f>IFERROR(__xludf.DUMMYFUNCTION("""COMPUTED_VALUE"""),120576.0)</f>
        <v>120576</v>
      </c>
      <c r="E65" s="16">
        <f>IFERROR(__xludf.DUMMYFUNCTION("""COMPUTED_VALUE"""),54304.0)</f>
        <v>54304</v>
      </c>
      <c r="F65" s="16">
        <f>IFERROR(__xludf.DUMMYFUNCTION("""COMPUTED_VALUE"""),28474.0)</f>
        <v>28474</v>
      </c>
      <c r="G65" s="16">
        <f>IFERROR(__xludf.DUMMYFUNCTION("""COMPUTED_VALUE"""),127216.0)</f>
        <v>127216</v>
      </c>
      <c r="H65" s="17">
        <v>343830.0</v>
      </c>
      <c r="I65" s="14"/>
      <c r="J65" s="15" t="str">
        <f>IFERROR(__xludf.DUMMYFUNCTION("""COMPUTED_VALUE"""),"2022 Q3")</f>
        <v>2022 Q3</v>
      </c>
      <c r="K65" s="16"/>
      <c r="L65" s="16">
        <f>IFERROR(__xludf.DUMMYFUNCTION("""COMPUTED_VALUE"""),7643.0)</f>
        <v>7643</v>
      </c>
      <c r="M65" s="16">
        <f>IFERROR(__xludf.DUMMYFUNCTION("""COMPUTED_VALUE"""),883.0)</f>
        <v>883</v>
      </c>
      <c r="N65" s="16">
        <f>IFERROR(__xludf.DUMMYFUNCTION("""COMPUTED_VALUE"""),4734.0)</f>
        <v>4734</v>
      </c>
      <c r="O65" s="16">
        <f>IFERROR(__xludf.DUMMYFUNCTION("""COMPUTED_VALUE"""),35130.0)</f>
        <v>35130</v>
      </c>
      <c r="P65" s="16">
        <f>IFERROR(__xludf.DUMMYFUNCTION("""COMPUTED_VALUE"""),0.0)</f>
        <v>0</v>
      </c>
      <c r="Q65" s="16">
        <f>IFERROR(__xludf.DUMMYFUNCTION("""COMPUTED_VALUE"""),85446.0)</f>
        <v>85446</v>
      </c>
      <c r="R65" s="16">
        <f>IFERROR(__xludf.DUMMYFUNCTION("""COMPUTED_VALUE"""),15728.0)</f>
        <v>15728</v>
      </c>
      <c r="S65" s="16">
        <f>IFERROR(__xludf.DUMMYFUNCTION("""COMPUTED_VALUE"""),6.0)</f>
        <v>6</v>
      </c>
      <c r="T65" s="16">
        <f>IFERROR(__xludf.DUMMYFUNCTION("""COMPUTED_VALUE"""),38570.0)</f>
        <v>38570</v>
      </c>
      <c r="U65" s="16"/>
      <c r="V65" s="16">
        <f>IFERROR(__xludf.DUMMYFUNCTION("""COMPUTED_VALUE"""),11490.0)</f>
        <v>11490</v>
      </c>
      <c r="W65" s="16">
        <f>IFERROR(__xludf.DUMMYFUNCTION("""COMPUTED_VALUE"""),0.0)</f>
        <v>0</v>
      </c>
      <c r="X65" s="16">
        <f>IFERROR(__xludf.DUMMYFUNCTION("""COMPUTED_VALUE"""),16984.0)</f>
        <v>16984</v>
      </c>
      <c r="Y65" s="16"/>
      <c r="Z65" s="16">
        <f>IFERROR(__xludf.DUMMYFUNCTION("""COMPUTED_VALUE"""),52000.0)</f>
        <v>52000</v>
      </c>
      <c r="AA65" s="16">
        <f>IFERROR(__xludf.DUMMYFUNCTION("""COMPUTED_VALUE"""),17783.0)</f>
        <v>17783</v>
      </c>
      <c r="AB65" s="16">
        <f>IFERROR(__xludf.DUMMYFUNCTION("""COMPUTED_VALUE"""),57433.0)</f>
        <v>57433</v>
      </c>
      <c r="AC65" s="17">
        <v>343830.0</v>
      </c>
      <c r="AD65" s="10"/>
      <c r="AE65" s="10"/>
      <c r="AF65" s="10"/>
      <c r="AG65" s="10"/>
      <c r="AH65" s="10"/>
      <c r="AI65" s="10"/>
    </row>
    <row r="66">
      <c r="A66" s="14"/>
      <c r="B66" s="15" t="str">
        <f>IFERROR(__xludf.DUMMYFUNCTION("""COMPUTED_VALUE"""),"2022 Q4")</f>
        <v>2022 Q4</v>
      </c>
      <c r="C66" s="16">
        <f>IFERROR(__xludf.DUMMYFUNCTION("""COMPUTED_VALUE"""),8886.0)</f>
        <v>8886</v>
      </c>
      <c r="D66" s="16">
        <f>IFERROR(__xludf.DUMMYFUNCTION("""COMPUTED_VALUE"""),121619.0)</f>
        <v>121619</v>
      </c>
      <c r="E66" s="16">
        <f>IFERROR(__xludf.DUMMYFUNCTION("""COMPUTED_VALUE"""),93837.0)</f>
        <v>93837</v>
      </c>
      <c r="F66" s="16">
        <f>IFERROR(__xludf.DUMMYFUNCTION("""COMPUTED_VALUE"""),27045.0)</f>
        <v>27045</v>
      </c>
      <c r="G66" s="16">
        <f>IFERROR(__xludf.DUMMYFUNCTION("""COMPUTED_VALUE"""),153891.0)</f>
        <v>153891</v>
      </c>
      <c r="H66" s="17">
        <v>405278.0</v>
      </c>
      <c r="I66" s="14"/>
      <c r="J66" s="15" t="str">
        <f>IFERROR(__xludf.DUMMYFUNCTION("""COMPUTED_VALUE"""),"2022 Q4")</f>
        <v>2022 Q4</v>
      </c>
      <c r="K66" s="16"/>
      <c r="L66" s="16">
        <f>IFERROR(__xludf.DUMMYFUNCTION("""COMPUTED_VALUE"""),4394.0)</f>
        <v>4394</v>
      </c>
      <c r="M66" s="16">
        <f>IFERROR(__xludf.DUMMYFUNCTION("""COMPUTED_VALUE"""),669.0)</f>
        <v>669</v>
      </c>
      <c r="N66" s="16">
        <f>IFERROR(__xludf.DUMMYFUNCTION("""COMPUTED_VALUE"""),3823.0)</f>
        <v>3823</v>
      </c>
      <c r="O66" s="16">
        <f>IFERROR(__xludf.DUMMYFUNCTION("""COMPUTED_VALUE"""),25417.0)</f>
        <v>25417</v>
      </c>
      <c r="P66" s="16">
        <f>IFERROR(__xludf.DUMMYFUNCTION("""COMPUTED_VALUE"""),0.0)</f>
        <v>0</v>
      </c>
      <c r="Q66" s="16">
        <f>IFERROR(__xludf.DUMMYFUNCTION("""COMPUTED_VALUE"""),96202.0)</f>
        <v>96202</v>
      </c>
      <c r="R66" s="16">
        <f>IFERROR(__xludf.DUMMYFUNCTION("""COMPUTED_VALUE"""),36480.0)</f>
        <v>36480</v>
      </c>
      <c r="S66" s="16">
        <f>IFERROR(__xludf.DUMMYFUNCTION("""COMPUTED_VALUE"""),2884.0)</f>
        <v>2884</v>
      </c>
      <c r="T66" s="16">
        <f>IFERROR(__xludf.DUMMYFUNCTION("""COMPUTED_VALUE"""),54473.0)</f>
        <v>54473</v>
      </c>
      <c r="U66" s="16"/>
      <c r="V66" s="16">
        <f>IFERROR(__xludf.DUMMYFUNCTION("""COMPUTED_VALUE"""),9100.0)</f>
        <v>9100</v>
      </c>
      <c r="W66" s="16">
        <f>IFERROR(__xludf.DUMMYFUNCTION("""COMPUTED_VALUE"""),255.0)</f>
        <v>255</v>
      </c>
      <c r="X66" s="16">
        <f>IFERROR(__xludf.DUMMYFUNCTION("""COMPUTED_VALUE"""),17690.0)</f>
        <v>17690</v>
      </c>
      <c r="Y66" s="16"/>
      <c r="Z66" s="16">
        <f>IFERROR(__xludf.DUMMYFUNCTION("""COMPUTED_VALUE"""),54500.0)</f>
        <v>54500</v>
      </c>
      <c r="AA66" s="16">
        <f>IFERROR(__xludf.DUMMYFUNCTION("""COMPUTED_VALUE"""),13339.0)</f>
        <v>13339</v>
      </c>
      <c r="AB66" s="16">
        <f>IFERROR(__xludf.DUMMYFUNCTION("""COMPUTED_VALUE"""),86052.0)</f>
        <v>86052</v>
      </c>
      <c r="AC66" s="17">
        <v>405278.0</v>
      </c>
      <c r="AD66" s="10"/>
      <c r="AE66" s="10"/>
      <c r="AF66" s="10"/>
      <c r="AG66" s="10"/>
      <c r="AH66" s="10"/>
      <c r="AI66" s="10"/>
    </row>
    <row r="67">
      <c r="A67" s="14"/>
      <c r="B67" s="15" t="str">
        <f>IFERROR(__xludf.DUMMYFUNCTION("""COMPUTED_VALUE"""),"2023 Q1")</f>
        <v>2023 Q1</v>
      </c>
      <c r="C67" s="16">
        <f>IFERROR(__xludf.DUMMYFUNCTION("""COMPUTED_VALUE"""),13081.0)</f>
        <v>13081</v>
      </c>
      <c r="D67" s="16">
        <f>IFERROR(__xludf.DUMMYFUNCTION("""COMPUTED_VALUE"""),137900.0)</f>
        <v>137900</v>
      </c>
      <c r="E67" s="16">
        <f>IFERROR(__xludf.DUMMYFUNCTION("""COMPUTED_VALUE"""),94242.0)</f>
        <v>94242</v>
      </c>
      <c r="F67" s="16">
        <f>IFERROR(__xludf.DUMMYFUNCTION("""COMPUTED_VALUE"""),25913.0)</f>
        <v>25913</v>
      </c>
      <c r="G67" s="16">
        <f>IFERROR(__xludf.DUMMYFUNCTION("""COMPUTED_VALUE"""),151739.0)</f>
        <v>151739</v>
      </c>
      <c r="H67" s="17">
        <v>422875.0</v>
      </c>
      <c r="I67" s="14"/>
      <c r="J67" s="15" t="str">
        <f>IFERROR(__xludf.DUMMYFUNCTION("""COMPUTED_VALUE"""),"2023 Q1")</f>
        <v>2023 Q1</v>
      </c>
      <c r="K67" s="16"/>
      <c r="L67" s="16">
        <f>IFERROR(__xludf.DUMMYFUNCTION("""COMPUTED_VALUE"""),4929.0)</f>
        <v>4929</v>
      </c>
      <c r="M67" s="16">
        <f>IFERROR(__xludf.DUMMYFUNCTION("""COMPUTED_VALUE"""),500.0)</f>
        <v>500</v>
      </c>
      <c r="N67" s="16">
        <f>IFERROR(__xludf.DUMMYFUNCTION("""COMPUTED_VALUE"""),7652.0)</f>
        <v>7652</v>
      </c>
      <c r="O67" s="16">
        <f>IFERROR(__xludf.DUMMYFUNCTION("""COMPUTED_VALUE"""),42782.0)</f>
        <v>42782</v>
      </c>
      <c r="P67" s="16">
        <f>IFERROR(__xludf.DUMMYFUNCTION("""COMPUTED_VALUE"""),471.0)</f>
        <v>471</v>
      </c>
      <c r="Q67" s="16">
        <f>IFERROR(__xludf.DUMMYFUNCTION("""COMPUTED_VALUE"""),94647.0)</f>
        <v>94647</v>
      </c>
      <c r="R67" s="16">
        <f>IFERROR(__xludf.DUMMYFUNCTION("""COMPUTED_VALUE"""),18777.0)</f>
        <v>18777</v>
      </c>
      <c r="S67" s="16">
        <f>IFERROR(__xludf.DUMMYFUNCTION("""COMPUTED_VALUE"""),2083.0)</f>
        <v>2083</v>
      </c>
      <c r="T67" s="16">
        <f>IFERROR(__xludf.DUMMYFUNCTION("""COMPUTED_VALUE"""),73382.0)</f>
        <v>73382</v>
      </c>
      <c r="U67" s="16"/>
      <c r="V67" s="16">
        <f>IFERROR(__xludf.DUMMYFUNCTION("""COMPUTED_VALUE"""),11327.0)</f>
        <v>11327</v>
      </c>
      <c r="W67" s="16">
        <f>IFERROR(__xludf.DUMMYFUNCTION("""COMPUTED_VALUE"""),130.0)</f>
        <v>130</v>
      </c>
      <c r="X67" s="16">
        <f>IFERROR(__xludf.DUMMYFUNCTION("""COMPUTED_VALUE"""),14456.0)</f>
        <v>14456</v>
      </c>
      <c r="Y67" s="16"/>
      <c r="Z67" s="16">
        <f>IFERROR(__xludf.DUMMYFUNCTION("""COMPUTED_VALUE"""),56000.0)</f>
        <v>56000</v>
      </c>
      <c r="AA67" s="16">
        <f>IFERROR(__xludf.DUMMYFUNCTION("""COMPUTED_VALUE"""),7511.0)</f>
        <v>7511</v>
      </c>
      <c r="AB67" s="16">
        <f>IFERROR(__xludf.DUMMYFUNCTION("""COMPUTED_VALUE"""),88228.0)</f>
        <v>88228</v>
      </c>
      <c r="AC67" s="17">
        <v>422875.0</v>
      </c>
      <c r="AD67" s="10"/>
      <c r="AE67" s="10"/>
      <c r="AF67" s="10"/>
      <c r="AG67" s="10"/>
      <c r="AH67" s="10"/>
      <c r="AI67" s="10"/>
    </row>
    <row r="68">
      <c r="A68" s="14"/>
      <c r="B68" s="15" t="str">
        <f>IFERROR(__xludf.DUMMYFUNCTION("""COMPUTED_VALUE"""),"2023 Q2")</f>
        <v>2023 Q2</v>
      </c>
      <c r="C68" s="16">
        <f>IFERROR(__xludf.DUMMYFUNCTION("""COMPUTED_VALUE"""),12228.0)</f>
        <v>12228</v>
      </c>
      <c r="D68" s="16">
        <f>IFERROR(__xludf.DUMMYFUNCTION("""COMPUTED_VALUE"""),159480.0)</f>
        <v>159480</v>
      </c>
      <c r="E68" s="16">
        <f>IFERROR(__xludf.DUMMYFUNCTION("""COMPUTED_VALUE"""),92196.0)</f>
        <v>92196</v>
      </c>
      <c r="F68" s="16">
        <f>IFERROR(__xludf.DUMMYFUNCTION("""COMPUTED_VALUE"""),34196.0)</f>
        <v>34196</v>
      </c>
      <c r="G68" s="16">
        <f>IFERROR(__xludf.DUMMYFUNCTION("""COMPUTED_VALUE"""),168040.0)</f>
        <v>168040</v>
      </c>
      <c r="H68" s="17">
        <v>466140.0</v>
      </c>
      <c r="I68" s="14"/>
      <c r="J68" s="15" t="str">
        <f>IFERROR(__xludf.DUMMYFUNCTION("""COMPUTED_VALUE"""),"2023 Q2")</f>
        <v>2023 Q2</v>
      </c>
      <c r="K68" s="16"/>
      <c r="L68" s="16">
        <f>IFERROR(__xludf.DUMMYFUNCTION("""COMPUTED_VALUE"""),4613.0)</f>
        <v>4613</v>
      </c>
      <c r="M68" s="16">
        <f>IFERROR(__xludf.DUMMYFUNCTION("""COMPUTED_VALUE"""),700.0)</f>
        <v>700</v>
      </c>
      <c r="N68" s="16">
        <f>IFERROR(__xludf.DUMMYFUNCTION("""COMPUTED_VALUE"""),6915.0)</f>
        <v>6915</v>
      </c>
      <c r="O68" s="16">
        <f>IFERROR(__xludf.DUMMYFUNCTION("""COMPUTED_VALUE"""),47391.0)</f>
        <v>47391</v>
      </c>
      <c r="P68" s="16">
        <f>IFERROR(__xludf.DUMMYFUNCTION("""COMPUTED_VALUE"""),2804.0)</f>
        <v>2804</v>
      </c>
      <c r="Q68" s="16">
        <f>IFERROR(__xludf.DUMMYFUNCTION("""COMPUTED_VALUE"""),109285.0)</f>
        <v>109285</v>
      </c>
      <c r="R68" s="16">
        <f>IFERROR(__xludf.DUMMYFUNCTION("""COMPUTED_VALUE"""),23182.0)</f>
        <v>23182</v>
      </c>
      <c r="S68" s="16">
        <f>IFERROR(__xludf.DUMMYFUNCTION("""COMPUTED_VALUE"""),3502.0)</f>
        <v>3502</v>
      </c>
      <c r="T68" s="16">
        <f>IFERROR(__xludf.DUMMYFUNCTION("""COMPUTED_VALUE"""),65512.0)</f>
        <v>65512</v>
      </c>
      <c r="U68" s="16"/>
      <c r="V68" s="16">
        <f>IFERROR(__xludf.DUMMYFUNCTION("""COMPUTED_VALUE"""),8517.0)</f>
        <v>8517</v>
      </c>
      <c r="W68" s="16">
        <f>IFERROR(__xludf.DUMMYFUNCTION("""COMPUTED_VALUE"""),2319.0)</f>
        <v>2319</v>
      </c>
      <c r="X68" s="16">
        <f>IFERROR(__xludf.DUMMYFUNCTION("""COMPUTED_VALUE"""),23360.0)</f>
        <v>23360</v>
      </c>
      <c r="Y68" s="16"/>
      <c r="Z68" s="16">
        <f>IFERROR(__xludf.DUMMYFUNCTION("""COMPUTED_VALUE"""),59000.0)</f>
        <v>59000</v>
      </c>
      <c r="AA68" s="16">
        <f>IFERROR(__xludf.DUMMYFUNCTION("""COMPUTED_VALUE"""),9900.0)</f>
        <v>9900</v>
      </c>
      <c r="AB68" s="16">
        <f>IFERROR(__xludf.DUMMYFUNCTION("""COMPUTED_VALUE"""),99140.0)</f>
        <v>99140</v>
      </c>
      <c r="AC68" s="17">
        <v>466140.0</v>
      </c>
      <c r="AD68" s="10"/>
      <c r="AE68" s="10"/>
      <c r="AF68" s="10"/>
      <c r="AG68" s="10"/>
      <c r="AH68" s="10"/>
      <c r="AI68" s="10"/>
    </row>
    <row r="69">
      <c r="A69" s="14"/>
      <c r="B69" s="15" t="str">
        <f>IFERROR(__xludf.DUMMYFUNCTION("""COMPUTED_VALUE"""),"2023 Q3")</f>
        <v>2023 Q3</v>
      </c>
      <c r="C69" s="16">
        <f>IFERROR(__xludf.DUMMYFUNCTION("""COMPUTED_VALUE"""),13990.0)</f>
        <v>13990</v>
      </c>
      <c r="D69" s="16">
        <f>IFERROR(__xludf.DUMMYFUNCTION("""COMPUTED_VALUE"""),141216.0)</f>
        <v>141216</v>
      </c>
      <c r="E69" s="16">
        <f>IFERROR(__xludf.DUMMYFUNCTION("""COMPUTED_VALUE"""),85581.0)</f>
        <v>85581</v>
      </c>
      <c r="F69" s="16">
        <f>IFERROR(__xludf.DUMMYFUNCTION("""COMPUTED_VALUE"""),39855.0)</f>
        <v>39855</v>
      </c>
      <c r="G69" s="16">
        <f>IFERROR(__xludf.DUMMYFUNCTION("""COMPUTED_VALUE"""),154417.0)</f>
        <v>154417</v>
      </c>
      <c r="H69" s="17">
        <v>435059.0</v>
      </c>
      <c r="I69" s="14"/>
      <c r="J69" s="15" t="str">
        <f>IFERROR(__xludf.DUMMYFUNCTION("""COMPUTED_VALUE"""),"2023 Q3")</f>
        <v>2023 Q3</v>
      </c>
      <c r="K69" s="16"/>
      <c r="L69" s="16">
        <f>IFERROR(__xludf.DUMMYFUNCTION("""COMPUTED_VALUE"""),5203.0)</f>
        <v>5203</v>
      </c>
      <c r="M69" s="16">
        <f>IFERROR(__xludf.DUMMYFUNCTION("""COMPUTED_VALUE"""),775.0)</f>
        <v>775</v>
      </c>
      <c r="N69" s="16">
        <f>IFERROR(__xludf.DUMMYFUNCTION("""COMPUTED_VALUE"""),8012.0)</f>
        <v>8012</v>
      </c>
      <c r="O69" s="16">
        <f>IFERROR(__xludf.DUMMYFUNCTION("""COMPUTED_VALUE"""),23447.0)</f>
        <v>23447</v>
      </c>
      <c r="P69" s="16">
        <f>IFERROR(__xludf.DUMMYFUNCTION("""COMPUTED_VALUE"""),1592.0)</f>
        <v>1592</v>
      </c>
      <c r="Q69" s="16">
        <f>IFERROR(__xludf.DUMMYFUNCTION("""COMPUTED_VALUE"""),116177.0)</f>
        <v>116177</v>
      </c>
      <c r="R69" s="16">
        <f>IFERROR(__xludf.DUMMYFUNCTION("""COMPUTED_VALUE"""),21628.0)</f>
        <v>21628</v>
      </c>
      <c r="S69" s="16">
        <f>IFERROR(__xludf.DUMMYFUNCTION("""COMPUTED_VALUE"""),1554.0)</f>
        <v>1554</v>
      </c>
      <c r="T69" s="16">
        <f>IFERROR(__xludf.DUMMYFUNCTION("""COMPUTED_VALUE"""),62399.0)</f>
        <v>62399</v>
      </c>
      <c r="U69" s="16"/>
      <c r="V69" s="16">
        <f>IFERROR(__xludf.DUMMYFUNCTION("""COMPUTED_VALUE"""),5841.0)</f>
        <v>5841</v>
      </c>
      <c r="W69" s="16">
        <f>IFERROR(__xludf.DUMMYFUNCTION("""COMPUTED_VALUE"""),1698.0)</f>
        <v>1698</v>
      </c>
      <c r="X69" s="16">
        <f>IFERROR(__xludf.DUMMYFUNCTION("""COMPUTED_VALUE"""),32316.0)</f>
        <v>32316</v>
      </c>
      <c r="Y69" s="16">
        <f>IFERROR(__xludf.DUMMYFUNCTION("""COMPUTED_VALUE"""),0.0)</f>
        <v>0</v>
      </c>
      <c r="Z69" s="16">
        <f>IFERROR(__xludf.DUMMYFUNCTION("""COMPUTED_VALUE"""),54000.0)</f>
        <v>54000</v>
      </c>
      <c r="AA69" s="16">
        <f>IFERROR(__xludf.DUMMYFUNCTION("""COMPUTED_VALUE"""),10366.0)</f>
        <v>10366</v>
      </c>
      <c r="AB69" s="16">
        <f>IFERROR(__xludf.DUMMYFUNCTION("""COMPUTED_VALUE"""),90051.0)</f>
        <v>90051</v>
      </c>
      <c r="AC69" s="17">
        <v>435059.0</v>
      </c>
      <c r="AD69" s="10"/>
      <c r="AE69" s="10"/>
      <c r="AF69" s="10"/>
      <c r="AG69" s="10"/>
      <c r="AH69" s="10"/>
      <c r="AI69" s="10"/>
    </row>
    <row r="70">
      <c r="A70" s="14"/>
      <c r="B70" s="15" t="str">
        <f>IFERROR(__xludf.DUMMYFUNCTION("""COMPUTED_VALUE"""),"2023 Q4")</f>
        <v>2023 Q4</v>
      </c>
      <c r="C70" s="16">
        <f>IFERROR(__xludf.DUMMYFUNCTION("""COMPUTED_VALUE"""),11923.0)</f>
        <v>11923</v>
      </c>
      <c r="D70" s="16">
        <f>IFERROR(__xludf.DUMMYFUNCTION("""COMPUTED_VALUE"""),172089.0)</f>
        <v>172089</v>
      </c>
      <c r="E70" s="16">
        <f>IFERROR(__xludf.DUMMYFUNCTION("""COMPUTED_VALUE"""),93152.0)</f>
        <v>93152</v>
      </c>
      <c r="F70" s="16">
        <f>IFERROR(__xludf.DUMMYFUNCTION("""COMPUTED_VALUE"""),32900.0)</f>
        <v>32900</v>
      </c>
      <c r="G70" s="16">
        <f>IFERROR(__xludf.DUMMYFUNCTION("""COMPUTED_VALUE"""),174443.0)</f>
        <v>174443</v>
      </c>
      <c r="H70" s="17">
        <v>484507.0</v>
      </c>
      <c r="I70" s="14"/>
      <c r="J70" s="15" t="str">
        <f>IFERROR(__xludf.DUMMYFUNCTION("""COMPUTED_VALUE"""),"2023 Q4")</f>
        <v>2023 Q4</v>
      </c>
      <c r="K70" s="16"/>
      <c r="L70" s="16">
        <f>IFERROR(__xludf.DUMMYFUNCTION("""COMPUTED_VALUE"""),3980.0)</f>
        <v>3980</v>
      </c>
      <c r="M70" s="16">
        <f>IFERROR(__xludf.DUMMYFUNCTION("""COMPUTED_VALUE"""),1020.0)</f>
        <v>1020</v>
      </c>
      <c r="N70" s="16">
        <f>IFERROR(__xludf.DUMMYFUNCTION("""COMPUTED_VALUE"""),6923.0)</f>
        <v>6923</v>
      </c>
      <c r="O70" s="16">
        <f>IFERROR(__xludf.DUMMYFUNCTION("""COMPUTED_VALUE"""),33650.0)</f>
        <v>33650</v>
      </c>
      <c r="P70" s="16">
        <f>IFERROR(__xludf.DUMMYFUNCTION("""COMPUTED_VALUE"""),2154.0)</f>
        <v>2154</v>
      </c>
      <c r="Q70" s="16">
        <f>IFERROR(__xludf.DUMMYFUNCTION("""COMPUTED_VALUE"""),136285.0)</f>
        <v>136285</v>
      </c>
      <c r="R70" s="16">
        <f>IFERROR(__xludf.DUMMYFUNCTION("""COMPUTED_VALUE"""),37345.0)</f>
        <v>37345</v>
      </c>
      <c r="S70" s="16">
        <f>IFERROR(__xludf.DUMMYFUNCTION("""COMPUTED_VALUE"""),1915.0)</f>
        <v>1915</v>
      </c>
      <c r="T70" s="16">
        <f>IFERROR(__xludf.DUMMYFUNCTION("""COMPUTED_VALUE"""),53892.0)</f>
        <v>53892</v>
      </c>
      <c r="U70" s="16"/>
      <c r="V70" s="16">
        <f>IFERROR(__xludf.DUMMYFUNCTION("""COMPUTED_VALUE"""),8752.0)</f>
        <v>8752</v>
      </c>
      <c r="W70" s="16">
        <f>IFERROR(__xludf.DUMMYFUNCTION("""COMPUTED_VALUE"""),1051.0)</f>
        <v>1051</v>
      </c>
      <c r="X70" s="16">
        <f>IFERROR(__xludf.DUMMYFUNCTION("""COMPUTED_VALUE"""),23097.0)</f>
        <v>23097</v>
      </c>
      <c r="Y70" s="16">
        <f>IFERROR(__xludf.DUMMYFUNCTION("""COMPUTED_VALUE"""),124.0)</f>
        <v>124</v>
      </c>
      <c r="Z70" s="16">
        <f>IFERROR(__xludf.DUMMYFUNCTION("""COMPUTED_VALUE"""),50000.0)</f>
        <v>50000</v>
      </c>
      <c r="AA70" s="16">
        <f>IFERROR(__xludf.DUMMYFUNCTION("""COMPUTED_VALUE"""),16705.0)</f>
        <v>16705</v>
      </c>
      <c r="AB70" s="16">
        <f>IFERROR(__xludf.DUMMYFUNCTION("""COMPUTED_VALUE"""),107614.0)</f>
        <v>107614</v>
      </c>
      <c r="AC70" s="17">
        <v>484507.0</v>
      </c>
      <c r="AD70" s="10"/>
      <c r="AE70" s="10"/>
      <c r="AF70" s="10"/>
      <c r="AG70" s="10"/>
      <c r="AH70" s="10"/>
      <c r="AI70" s="10"/>
    </row>
    <row r="71">
      <c r="A71" s="14"/>
      <c r="B71" s="15" t="str">
        <f>IFERROR(__xludf.DUMMYFUNCTION("""COMPUTED_VALUE"""),"2024 Q1")</f>
        <v>2024 Q1</v>
      </c>
      <c r="C71" s="16">
        <f>IFERROR(__xludf.DUMMYFUNCTION("""COMPUTED_VALUE"""),10322.0)</f>
        <v>10322</v>
      </c>
      <c r="D71" s="16">
        <f>IFERROR(__xludf.DUMMYFUNCTION("""COMPUTED_VALUE"""),132847.0)</f>
        <v>132847</v>
      </c>
      <c r="E71" s="16">
        <f>IFERROR(__xludf.DUMMYFUNCTION("""COMPUTED_VALUE"""),85820.0)</f>
        <v>85820</v>
      </c>
      <c r="F71" s="16">
        <f>IFERROR(__xludf.DUMMYFUNCTION("""COMPUTED_VALUE"""),33703.0)</f>
        <v>33703</v>
      </c>
      <c r="G71" s="16">
        <f>IFERROR(__xludf.DUMMYFUNCTION("""COMPUTED_VALUE"""),124118.0)</f>
        <v>124118</v>
      </c>
      <c r="H71" s="17">
        <v>386810.0</v>
      </c>
      <c r="I71" s="14"/>
      <c r="J71" s="15" t="str">
        <f>IFERROR(__xludf.DUMMYFUNCTION("""COMPUTED_VALUE"""),"2024 Q1")</f>
        <v>2024 Q1</v>
      </c>
      <c r="K71" s="16"/>
      <c r="L71" s="16">
        <f>IFERROR(__xludf.DUMMYFUNCTION("""COMPUTED_VALUE"""),2326.0)</f>
        <v>2326</v>
      </c>
      <c r="M71" s="16">
        <f>IFERROR(__xludf.DUMMYFUNCTION("""COMPUTED_VALUE"""),600.0)</f>
        <v>600</v>
      </c>
      <c r="N71" s="16">
        <f>IFERROR(__xludf.DUMMYFUNCTION("""COMPUTED_VALUE"""),7396.0)</f>
        <v>7396</v>
      </c>
      <c r="O71" s="16">
        <f>IFERROR(__xludf.DUMMYFUNCTION("""COMPUTED_VALUE"""),32054.0)</f>
        <v>32054</v>
      </c>
      <c r="P71" s="16">
        <f>IFERROR(__xludf.DUMMYFUNCTION("""COMPUTED_VALUE"""),427.0)</f>
        <v>427</v>
      </c>
      <c r="Q71" s="16">
        <f>IFERROR(__xludf.DUMMYFUNCTION("""COMPUTED_VALUE"""),100366.0)</f>
        <v>100366</v>
      </c>
      <c r="R71" s="16">
        <f>IFERROR(__xludf.DUMMYFUNCTION("""COMPUTED_VALUE"""),24490.0)</f>
        <v>24490</v>
      </c>
      <c r="S71" s="16">
        <f>IFERROR(__xludf.DUMMYFUNCTION("""COMPUTED_VALUE"""),1149.0)</f>
        <v>1149</v>
      </c>
      <c r="T71" s="16">
        <f>IFERROR(__xludf.DUMMYFUNCTION("""COMPUTED_VALUE"""),60181.0)</f>
        <v>60181</v>
      </c>
      <c r="U71" s="16"/>
      <c r="V71" s="16">
        <f>IFERROR(__xludf.DUMMYFUNCTION("""COMPUTED_VALUE"""),12499.0)</f>
        <v>12499</v>
      </c>
      <c r="W71" s="16">
        <f>IFERROR(__xludf.DUMMYFUNCTION("""COMPUTED_VALUE"""),993.0)</f>
        <v>993</v>
      </c>
      <c r="X71" s="16">
        <f>IFERROR(__xludf.DUMMYFUNCTION("""COMPUTED_VALUE"""),20211.0)</f>
        <v>20211</v>
      </c>
      <c r="Y71" s="16">
        <f>IFERROR(__xludf.DUMMYFUNCTION("""COMPUTED_VALUE"""),2600.0)</f>
        <v>2600</v>
      </c>
      <c r="Z71" s="16">
        <f>IFERROR(__xludf.DUMMYFUNCTION("""COMPUTED_VALUE"""),23000.0)</f>
        <v>23000</v>
      </c>
      <c r="AA71" s="16">
        <f>IFERROR(__xludf.DUMMYFUNCTION("""COMPUTED_VALUE"""),11258.0)</f>
        <v>11258</v>
      </c>
      <c r="AB71" s="16">
        <f>IFERROR(__xludf.DUMMYFUNCTION("""COMPUTED_VALUE"""),87260.0)</f>
        <v>87260</v>
      </c>
      <c r="AC71" s="17">
        <v>386810.0</v>
      </c>
      <c r="AD71" s="10"/>
      <c r="AE71" s="10"/>
      <c r="AF71" s="10"/>
      <c r="AG71" s="10"/>
      <c r="AH71" s="10"/>
      <c r="AI71" s="10"/>
    </row>
    <row r="72">
      <c r="A72" s="14"/>
      <c r="B72" s="15" t="str">
        <f>IFERROR(__xludf.DUMMYFUNCTION("""COMPUTED_VALUE"""),"2024 Q2")</f>
        <v>2024 Q2</v>
      </c>
      <c r="C72" s="16">
        <f>IFERROR(__xludf.DUMMYFUNCTION("""COMPUTED_VALUE"""),10604.0)</f>
        <v>10604</v>
      </c>
      <c r="D72" s="16">
        <f>IFERROR(__xludf.DUMMYFUNCTION("""COMPUTED_VALUE"""),146630.0)</f>
        <v>146630</v>
      </c>
      <c r="E72" s="16">
        <f>IFERROR(__xludf.DUMMYFUNCTION("""COMPUTED_VALUE"""),78417.0)</f>
        <v>78417</v>
      </c>
      <c r="F72" s="16">
        <f>IFERROR(__xludf.DUMMYFUNCTION("""COMPUTED_VALUE"""),39622.0)</f>
        <v>39622</v>
      </c>
      <c r="G72" s="16">
        <f>IFERROR(__xludf.DUMMYFUNCTION("""COMPUTED_VALUE"""),168683.0)</f>
        <v>168683</v>
      </c>
      <c r="H72" s="17">
        <v>443956.0</v>
      </c>
      <c r="I72" s="14"/>
      <c r="J72" s="15" t="str">
        <f>IFERROR(__xludf.DUMMYFUNCTION("""COMPUTED_VALUE"""),"2024 Q2")</f>
        <v>2024 Q2</v>
      </c>
      <c r="K72" s="16">
        <f>IFERROR(__xludf.DUMMYFUNCTION("""COMPUTED_VALUE"""),0.0)</f>
        <v>0</v>
      </c>
      <c r="L72" s="16">
        <f>IFERROR(__xludf.DUMMYFUNCTION("""COMPUTED_VALUE"""),2680.0)</f>
        <v>2680</v>
      </c>
      <c r="M72" s="16">
        <f>IFERROR(__xludf.DUMMYFUNCTION("""COMPUTED_VALUE"""),800.0)</f>
        <v>800</v>
      </c>
      <c r="N72" s="16">
        <f>IFERROR(__xludf.DUMMYFUNCTION("""COMPUTED_VALUE"""),7124.0)</f>
        <v>7124</v>
      </c>
      <c r="O72" s="16">
        <f>IFERROR(__xludf.DUMMYFUNCTION("""COMPUTED_VALUE"""),38446.0)</f>
        <v>38446</v>
      </c>
      <c r="P72" s="16">
        <f>IFERROR(__xludf.DUMMYFUNCTION("""COMPUTED_VALUE"""),733.0)</f>
        <v>733</v>
      </c>
      <c r="Q72" s="16">
        <f>IFERROR(__xludf.DUMMYFUNCTION("""COMPUTED_VALUE"""),107451.0)</f>
        <v>107451</v>
      </c>
      <c r="R72" s="16">
        <f>IFERROR(__xludf.DUMMYFUNCTION("""COMPUTED_VALUE"""),31655.0)</f>
        <v>31655</v>
      </c>
      <c r="S72" s="16">
        <f>IFERROR(__xludf.DUMMYFUNCTION("""COMPUTED_VALUE"""),715.0)</f>
        <v>715</v>
      </c>
      <c r="T72" s="16">
        <f>IFERROR(__xludf.DUMMYFUNCTION("""COMPUTED_VALUE"""),46047.0)</f>
        <v>46047</v>
      </c>
      <c r="U72" s="16"/>
      <c r="V72" s="16">
        <f>IFERROR(__xludf.DUMMYFUNCTION("""COMPUTED_VALUE"""),18691.0)</f>
        <v>18691</v>
      </c>
      <c r="W72" s="16">
        <f>IFERROR(__xludf.DUMMYFUNCTION("""COMPUTED_VALUE"""),648.0)</f>
        <v>648</v>
      </c>
      <c r="X72" s="16">
        <f>IFERROR(__xludf.DUMMYFUNCTION("""COMPUTED_VALUE"""),20283.0)</f>
        <v>20283</v>
      </c>
      <c r="Y72" s="16">
        <f>IFERROR(__xludf.DUMMYFUNCTION("""COMPUTED_VALUE"""),10100.0)</f>
        <v>10100</v>
      </c>
      <c r="Z72" s="16">
        <f>IFERROR(__xludf.DUMMYFUNCTION("""COMPUTED_VALUE"""),45000.0)</f>
        <v>45000</v>
      </c>
      <c r="AA72" s="16">
        <f>IFERROR(__xludf.DUMMYFUNCTION("""COMPUTED_VALUE"""),8555.0)</f>
        <v>8555</v>
      </c>
      <c r="AB72" s="16">
        <f>IFERROR(__xludf.DUMMYFUNCTION("""COMPUTED_VALUE"""),105028.0)</f>
        <v>105028</v>
      </c>
      <c r="AC72" s="17">
        <v>443956.0</v>
      </c>
      <c r="AD72" s="10"/>
      <c r="AE72" s="10"/>
      <c r="AF72" s="10"/>
      <c r="AG72" s="10"/>
      <c r="AH72" s="10"/>
      <c r="AI72" s="10"/>
    </row>
    <row r="73">
      <c r="A73" s="14"/>
      <c r="B73" s="15" t="str">
        <f>IFERROR(__xludf.DUMMYFUNCTION("""COMPUTED_VALUE"""),"2024 Q3")</f>
        <v>2024 Q3</v>
      </c>
      <c r="C73" s="16">
        <f>IFERROR(__xludf.DUMMYFUNCTION("""COMPUTED_VALUE"""),13996.0)</f>
        <v>13996</v>
      </c>
      <c r="D73" s="16">
        <f>IFERROR(__xludf.DUMMYFUNCTION("""COMPUTED_VALUE"""),182206.0)</f>
        <v>182206</v>
      </c>
      <c r="E73" s="16">
        <f>IFERROR(__xludf.DUMMYFUNCTION("""COMPUTED_VALUE"""),78279.0)</f>
        <v>78279</v>
      </c>
      <c r="F73" s="16">
        <f>IFERROR(__xludf.DUMMYFUNCTION("""COMPUTED_VALUE"""),32428.0)</f>
        <v>32428</v>
      </c>
      <c r="G73" s="16">
        <f>IFERROR(__xludf.DUMMYFUNCTION("""COMPUTED_VALUE"""),155981.0)</f>
        <v>155981</v>
      </c>
      <c r="H73" s="17">
        <v>462890.0</v>
      </c>
      <c r="I73" s="14"/>
      <c r="J73" s="15" t="str">
        <f>IFERROR(__xludf.DUMMYFUNCTION("""COMPUTED_VALUE"""),"2024 Q3")</f>
        <v>2024 Q3</v>
      </c>
      <c r="K73" s="16">
        <f>IFERROR(__xludf.DUMMYFUNCTION("""COMPUTED_VALUE"""),0.0)</f>
        <v>0</v>
      </c>
      <c r="L73" s="16">
        <f>IFERROR(__xludf.DUMMYFUNCTION("""COMPUTED_VALUE"""),4197.0)</f>
        <v>4197</v>
      </c>
      <c r="M73" s="16">
        <f>IFERROR(__xludf.DUMMYFUNCTION("""COMPUTED_VALUE"""),570.0)</f>
        <v>570</v>
      </c>
      <c r="N73" s="16">
        <f>IFERROR(__xludf.DUMMYFUNCTION("""COMPUTED_VALUE"""),9229.0)</f>
        <v>9229</v>
      </c>
      <c r="O73" s="16">
        <f>IFERROR(__xludf.DUMMYFUNCTION("""COMPUTED_VALUE"""),52052.0)</f>
        <v>52052</v>
      </c>
      <c r="P73" s="16">
        <f>IFERROR(__xludf.DUMMYFUNCTION("""COMPUTED_VALUE"""),323.0)</f>
        <v>323</v>
      </c>
      <c r="Q73" s="16">
        <f>IFERROR(__xludf.DUMMYFUNCTION("""COMPUTED_VALUE"""),129831.0)</f>
        <v>129831</v>
      </c>
      <c r="R73" s="16">
        <f>IFERROR(__xludf.DUMMYFUNCTION("""COMPUTED_VALUE"""),23471.0)</f>
        <v>23471</v>
      </c>
      <c r="S73" s="16">
        <f>IFERROR(__xludf.DUMMYFUNCTION("""COMPUTED_VALUE"""),967.0)</f>
        <v>967</v>
      </c>
      <c r="T73" s="16">
        <f>IFERROR(__xludf.DUMMYFUNCTION("""COMPUTED_VALUE"""),53841.0)</f>
        <v>53841</v>
      </c>
      <c r="U73" s="16"/>
      <c r="V73" s="16">
        <f>IFERROR(__xludf.DUMMYFUNCTION("""COMPUTED_VALUE"""),13659.0)</f>
        <v>13659</v>
      </c>
      <c r="W73" s="16">
        <f>IFERROR(__xludf.DUMMYFUNCTION("""COMPUTED_VALUE"""),459.0)</f>
        <v>459</v>
      </c>
      <c r="X73" s="16">
        <f>IFERROR(__xludf.DUMMYFUNCTION("""COMPUTED_VALUE"""),18310.0)</f>
        <v>18310</v>
      </c>
      <c r="Y73" s="16">
        <f>IFERROR(__xludf.DUMMYFUNCTION("""COMPUTED_VALUE"""),14000.0)</f>
        <v>14000</v>
      </c>
      <c r="Z73" s="16">
        <f>IFERROR(__xludf.DUMMYFUNCTION("""COMPUTED_VALUE"""),51000.0)</f>
        <v>51000</v>
      </c>
      <c r="AA73" s="16">
        <f>IFERROR(__xludf.DUMMYFUNCTION("""COMPUTED_VALUE"""),6596.0)</f>
        <v>6596</v>
      </c>
      <c r="AB73" s="16">
        <f>IFERROR(__xludf.DUMMYFUNCTION("""COMPUTED_VALUE"""),84385.0)</f>
        <v>84385</v>
      </c>
      <c r="AC73" s="17">
        <v>462890.0</v>
      </c>
      <c r="AD73" s="10"/>
      <c r="AE73" s="10"/>
      <c r="AF73" s="10"/>
      <c r="AG73" s="10"/>
      <c r="AH73" s="10"/>
      <c r="AI73" s="10"/>
    </row>
    <row r="74">
      <c r="A74" s="14"/>
      <c r="B74" s="15" t="str">
        <f>IFERROR(__xludf.DUMMYFUNCTION("""COMPUTED_VALUE"""),"2024 Q4")</f>
        <v>2024 Q4</v>
      </c>
      <c r="C74" s="16">
        <f>IFERROR(__xludf.DUMMYFUNCTION("""COMPUTED_VALUE"""),10699.0)</f>
        <v>10699</v>
      </c>
      <c r="D74" s="16">
        <f>IFERROR(__xludf.DUMMYFUNCTION("""COMPUTED_VALUE"""),197464.0)</f>
        <v>197464</v>
      </c>
      <c r="E74" s="16">
        <f>IFERROR(__xludf.DUMMYFUNCTION("""COMPUTED_VALUE"""),83473.0)</f>
        <v>83473</v>
      </c>
      <c r="F74" s="16">
        <f>IFERROR(__xludf.DUMMYFUNCTION("""COMPUTED_VALUE"""),32767.0)</f>
        <v>32767</v>
      </c>
      <c r="G74" s="16">
        <f>IFERROR(__xludf.DUMMYFUNCTION("""COMPUTED_VALUE"""),171167.0)</f>
        <v>171167</v>
      </c>
      <c r="H74" s="17">
        <v>495570.0</v>
      </c>
      <c r="I74" s="14"/>
      <c r="J74" s="15" t="str">
        <f>IFERROR(__xludf.DUMMYFUNCTION("""COMPUTED_VALUE"""),"2024 Q4")</f>
        <v>2024 Q4</v>
      </c>
      <c r="K74" s="16">
        <f>IFERROR(__xludf.DUMMYFUNCTION("""COMPUTED_VALUE"""),1540.0)</f>
        <v>1540</v>
      </c>
      <c r="L74" s="16">
        <f>IFERROR(__xludf.DUMMYFUNCTION("""COMPUTED_VALUE"""),2012.0)</f>
        <v>2012</v>
      </c>
      <c r="M74" s="16">
        <f>IFERROR(__xludf.DUMMYFUNCTION("""COMPUTED_VALUE"""),720.0)</f>
        <v>720</v>
      </c>
      <c r="N74" s="16">
        <f>IFERROR(__xludf.DUMMYFUNCTION("""COMPUTED_VALUE"""),6427.0)</f>
        <v>6427</v>
      </c>
      <c r="O74" s="16">
        <f>IFERROR(__xludf.DUMMYFUNCTION("""COMPUTED_VALUE"""),54241.0)</f>
        <v>54241</v>
      </c>
      <c r="P74" s="16">
        <f>IFERROR(__xludf.DUMMYFUNCTION("""COMPUTED_VALUE"""),562.0)</f>
        <v>562</v>
      </c>
      <c r="Q74" s="16">
        <f>IFERROR(__xludf.DUMMYFUNCTION("""COMPUTED_VALUE"""),142661.0)</f>
        <v>142661</v>
      </c>
      <c r="R74" s="16">
        <f>IFERROR(__xludf.DUMMYFUNCTION("""COMPUTED_VALUE"""),25622.0)</f>
        <v>25622</v>
      </c>
      <c r="S74" s="16">
        <f>IFERROR(__xludf.DUMMYFUNCTION("""COMPUTED_VALUE"""),540.0)</f>
        <v>540</v>
      </c>
      <c r="T74" s="16">
        <f>IFERROR(__xludf.DUMMYFUNCTION("""COMPUTED_VALUE"""),57311.0)</f>
        <v>57311</v>
      </c>
      <c r="U74" s="16"/>
      <c r="V74" s="16">
        <f>IFERROR(__xludf.DUMMYFUNCTION("""COMPUTED_VALUE"""),11651.0)</f>
        <v>11651</v>
      </c>
      <c r="W74" s="16">
        <f>IFERROR(__xludf.DUMMYFUNCTION("""COMPUTED_VALUE"""),462.0)</f>
        <v>462</v>
      </c>
      <c r="X74" s="16">
        <f>IFERROR(__xludf.DUMMYFUNCTION("""COMPUTED_VALUE"""),20654.0)</f>
        <v>20654</v>
      </c>
      <c r="Y74" s="16">
        <f>IFERROR(__xludf.DUMMYFUNCTION("""COMPUTED_VALUE"""),12500.0)</f>
        <v>12500</v>
      </c>
      <c r="Z74" s="16">
        <f>IFERROR(__xludf.DUMMYFUNCTION("""COMPUTED_VALUE"""),56000.0)</f>
        <v>56000</v>
      </c>
      <c r="AA74" s="16">
        <f>IFERROR(__xludf.DUMMYFUNCTION("""COMPUTED_VALUE"""),7316.0)</f>
        <v>7316</v>
      </c>
      <c r="AB74" s="16">
        <f>IFERROR(__xludf.DUMMYFUNCTION("""COMPUTED_VALUE"""),95351.0)</f>
        <v>95351</v>
      </c>
      <c r="AC74" s="17">
        <v>495570.0</v>
      </c>
      <c r="AD74" s="10"/>
      <c r="AE74" s="10"/>
      <c r="AF74" s="10"/>
      <c r="AG74" s="10"/>
      <c r="AH74" s="10"/>
      <c r="AI74" s="10"/>
    </row>
    <row r="75">
      <c r="A75" s="14"/>
      <c r="B75" s="15" t="str">
        <f>IFERROR(__xludf.DUMMYFUNCTION("""COMPUTED_VALUE"""),"2025 Q1")</f>
        <v>2025 Q1</v>
      </c>
      <c r="C75" s="16">
        <f>IFERROR(__xludf.DUMMYFUNCTION("""COMPUTED_VALUE"""),4046.0)</f>
        <v>4046</v>
      </c>
      <c r="D75" s="16">
        <f>IFERROR(__xludf.DUMMYFUNCTION("""COMPUTED_VALUE"""),134913.0)</f>
        <v>134913</v>
      </c>
      <c r="E75" s="16">
        <f>IFERROR(__xludf.DUMMYFUNCTION("""COMPUTED_VALUE"""),53952.0)</f>
        <v>53952</v>
      </c>
      <c r="F75" s="16">
        <f>IFERROR(__xludf.DUMMYFUNCTION("""COMPUTED_VALUE"""),23426.0)</f>
        <v>23426</v>
      </c>
      <c r="G75" s="16">
        <f>IFERROR(__xludf.DUMMYFUNCTION("""COMPUTED_VALUE"""),120344.0)</f>
        <v>120344</v>
      </c>
      <c r="H75" s="17">
        <v>336681.0</v>
      </c>
      <c r="I75" s="14"/>
      <c r="J75" s="15" t="str">
        <f>IFERROR(__xludf.DUMMYFUNCTION("""COMPUTED_VALUE"""),"2025 Q1")</f>
        <v>2025 Q1</v>
      </c>
      <c r="K75" s="16">
        <f>IFERROR(__xludf.DUMMYFUNCTION("""COMPUTED_VALUE"""),517.0)</f>
        <v>517</v>
      </c>
      <c r="L75" s="16">
        <f>IFERROR(__xludf.DUMMYFUNCTION("""COMPUTED_VALUE"""),416.0)</f>
        <v>416</v>
      </c>
      <c r="M75" s="16">
        <f>IFERROR(__xludf.DUMMYFUNCTION("""COMPUTED_VALUE"""),180.0)</f>
        <v>180</v>
      </c>
      <c r="N75" s="16">
        <f>IFERROR(__xludf.DUMMYFUNCTION("""COMPUTED_VALUE"""),2933.0)</f>
        <v>2933</v>
      </c>
      <c r="O75" s="16">
        <f>IFERROR(__xludf.DUMMYFUNCTION("""COMPUTED_VALUE"""),52718.0)</f>
        <v>52718</v>
      </c>
      <c r="P75" s="16">
        <f>IFERROR(__xludf.DUMMYFUNCTION("""COMPUTED_VALUE"""),306.0)</f>
        <v>306</v>
      </c>
      <c r="Q75" s="16">
        <f>IFERROR(__xludf.DUMMYFUNCTION("""COMPUTED_VALUE"""),81889.0)</f>
        <v>81889</v>
      </c>
      <c r="R75" s="16">
        <f>IFERROR(__xludf.DUMMYFUNCTION("""COMPUTED_VALUE"""),21857.0)</f>
        <v>21857</v>
      </c>
      <c r="S75" s="16">
        <f>IFERROR(__xludf.DUMMYFUNCTION("""COMPUTED_VALUE"""),400.0)</f>
        <v>400</v>
      </c>
      <c r="T75" s="16">
        <f>IFERROR(__xludf.DUMMYFUNCTION("""COMPUTED_VALUE"""),31695.0)</f>
        <v>31695</v>
      </c>
      <c r="U75" s="16"/>
      <c r="V75" s="16">
        <f>IFERROR(__xludf.DUMMYFUNCTION("""COMPUTED_VALUE"""),9927.0)</f>
        <v>9927</v>
      </c>
      <c r="W75" s="16">
        <f>IFERROR(__xludf.DUMMYFUNCTION("""COMPUTED_VALUE"""),364.0)</f>
        <v>364</v>
      </c>
      <c r="X75" s="16">
        <f>IFERROR(__xludf.DUMMYFUNCTION("""COMPUTED_VALUE"""),13135.0)</f>
        <v>13135</v>
      </c>
      <c r="Y75" s="16">
        <f>IFERROR(__xludf.DUMMYFUNCTION("""COMPUTED_VALUE"""),4878.0)</f>
        <v>4878</v>
      </c>
      <c r="Z75" s="16">
        <f>IFERROR(__xludf.DUMMYFUNCTION("""COMPUTED_VALUE"""),50640.0)</f>
        <v>50640</v>
      </c>
      <c r="AA75" s="16">
        <f>IFERROR(__xludf.DUMMYFUNCTION("""COMPUTED_VALUE"""),6236.0)</f>
        <v>6236</v>
      </c>
      <c r="AB75" s="16">
        <f>IFERROR(__xludf.DUMMYFUNCTION("""COMPUTED_VALUE"""),58590.0)</f>
        <v>58590</v>
      </c>
      <c r="AC75" s="17">
        <v>336681.0</v>
      </c>
      <c r="AD75" s="10"/>
      <c r="AE75" s="10"/>
      <c r="AF75" s="10"/>
      <c r="AG75" s="10"/>
      <c r="AH75" s="10"/>
      <c r="AI75" s="10"/>
    </row>
    <row r="76">
      <c r="A76" s="14"/>
      <c r="B76" s="15" t="str">
        <f>IFERROR(__xludf.DUMMYFUNCTION("""COMPUTED_VALUE"""),"2025 Q2")</f>
        <v>2025 Q2</v>
      </c>
      <c r="C76" s="16">
        <f>IFERROR(__xludf.DUMMYFUNCTION("""COMPUTED_VALUE"""),2968.0)</f>
        <v>2968</v>
      </c>
      <c r="D76" s="16">
        <f>IFERROR(__xludf.DUMMYFUNCTION("""COMPUTED_VALUE"""),129035.0)</f>
        <v>129035</v>
      </c>
      <c r="E76" s="16">
        <f>IFERROR(__xludf.DUMMYFUNCTION("""COMPUTED_VALUE"""),55891.0)</f>
        <v>55891</v>
      </c>
      <c r="F76" s="16">
        <f>IFERROR(__xludf.DUMMYFUNCTION("""COMPUTED_VALUE"""),47086.0)</f>
        <v>47086</v>
      </c>
      <c r="G76" s="16">
        <f>IFERROR(__xludf.DUMMYFUNCTION("""COMPUTED_VALUE"""),149142.0)</f>
        <v>149142</v>
      </c>
      <c r="H76" s="17">
        <v>384122.0</v>
      </c>
      <c r="I76" s="14"/>
      <c r="J76" s="15" t="str">
        <f>IFERROR(__xludf.DUMMYFUNCTION("""COMPUTED_VALUE"""),"2025 Q2")</f>
        <v>2025 Q2</v>
      </c>
      <c r="K76" s="16">
        <f>IFERROR(__xludf.DUMMYFUNCTION("""COMPUTED_VALUE"""),490.0)</f>
        <v>490</v>
      </c>
      <c r="L76" s="16">
        <f>IFERROR(__xludf.DUMMYFUNCTION("""COMPUTED_VALUE"""),872.0)</f>
        <v>872</v>
      </c>
      <c r="M76" s="16">
        <f>IFERROR(__xludf.DUMMYFUNCTION("""COMPUTED_VALUE"""),72.0)</f>
        <v>72</v>
      </c>
      <c r="N76" s="16">
        <f>IFERROR(__xludf.DUMMYFUNCTION("""COMPUTED_VALUE"""),1534.0)</f>
        <v>1534</v>
      </c>
      <c r="O76" s="16">
        <f>IFERROR(__xludf.DUMMYFUNCTION("""COMPUTED_VALUE"""),39201.0)</f>
        <v>39201</v>
      </c>
      <c r="P76" s="16">
        <f>IFERROR(__xludf.DUMMYFUNCTION("""COMPUTED_VALUE"""),232.0)</f>
        <v>232</v>
      </c>
      <c r="Q76" s="16">
        <f>IFERROR(__xludf.DUMMYFUNCTION("""COMPUTED_VALUE"""),89602.0)</f>
        <v>89602</v>
      </c>
      <c r="R76" s="16">
        <f>IFERROR(__xludf.DUMMYFUNCTION("""COMPUTED_VALUE"""),16583.0)</f>
        <v>16583</v>
      </c>
      <c r="S76" s="16">
        <f>IFERROR(__xludf.DUMMYFUNCTION("""COMPUTED_VALUE"""),163.0)</f>
        <v>163</v>
      </c>
      <c r="T76" s="16">
        <f>IFERROR(__xludf.DUMMYFUNCTION("""COMPUTED_VALUE"""),39145.0)</f>
        <v>39145</v>
      </c>
      <c r="U76" s="16"/>
      <c r="V76" s="16">
        <f>IFERROR(__xludf.DUMMYFUNCTION("""COMPUTED_VALUE"""),6764.0)</f>
        <v>6764</v>
      </c>
      <c r="W76" s="16">
        <f>IFERROR(__xludf.DUMMYFUNCTION("""COMPUTED_VALUE"""),97.0)</f>
        <v>97</v>
      </c>
      <c r="X76" s="16">
        <f>IFERROR(__xludf.DUMMYFUNCTION("""COMPUTED_VALUE"""),40225.0)</f>
        <v>40225</v>
      </c>
      <c r="Y76" s="16">
        <f>IFERROR(__xludf.DUMMYFUNCTION("""COMPUTED_VALUE"""),4900.0)</f>
        <v>4900</v>
      </c>
      <c r="Z76" s="16">
        <f>IFERROR(__xludf.DUMMYFUNCTION("""COMPUTED_VALUE"""),49000.0)</f>
        <v>49000</v>
      </c>
      <c r="AA76" s="16">
        <f>IFERROR(__xludf.DUMMYFUNCTION("""COMPUTED_VALUE"""),4440.0)</f>
        <v>4440</v>
      </c>
      <c r="AB76" s="16">
        <f>IFERROR(__xludf.DUMMYFUNCTION("""COMPUTED_VALUE"""),90802.0)</f>
        <v>90802</v>
      </c>
      <c r="AC76" s="17">
        <v>384122.0</v>
      </c>
      <c r="AD76" s="10"/>
      <c r="AE76" s="10"/>
      <c r="AF76" s="10"/>
      <c r="AG76" s="10"/>
      <c r="AH76" s="10"/>
      <c r="AI76" s="10"/>
    </row>
    <row r="77">
      <c r="A77" s="14"/>
      <c r="B77" s="15" t="str">
        <f>IFERROR(__xludf.DUMMYFUNCTION("""COMPUTED_VALUE"""),"2025 Q3")</f>
        <v>2025 Q3</v>
      </c>
      <c r="C77" s="16">
        <f>IFERROR(__xludf.DUMMYFUNCTION("""COMPUTED_VALUE"""),2128.0)</f>
        <v>2128</v>
      </c>
      <c r="D77" s="16">
        <f>IFERROR(__xludf.DUMMYFUNCTION("""COMPUTED_VALUE"""),169447.0)</f>
        <v>169447</v>
      </c>
      <c r="E77" s="16">
        <f>IFERROR(__xludf.DUMMYFUNCTION("""COMPUTED_VALUE"""),63535.0)</f>
        <v>63535</v>
      </c>
      <c r="F77" s="16">
        <f>IFERROR(__xludf.DUMMYFUNCTION("""COMPUTED_VALUE"""),66963.0)</f>
        <v>66963</v>
      </c>
      <c r="G77" s="16">
        <f>IFERROR(__xludf.DUMMYFUNCTION("""COMPUTED_VALUE"""),195026.0)</f>
        <v>195026</v>
      </c>
      <c r="H77" s="17">
        <v>497099.0</v>
      </c>
      <c r="I77" s="14"/>
      <c r="J77" s="15" t="str">
        <f>IFERROR(__xludf.DUMMYFUNCTION("""COMPUTED_VALUE"""),"2025 Q3")</f>
        <v>2025 Q3</v>
      </c>
      <c r="K77" s="16">
        <f>IFERROR(__xludf.DUMMYFUNCTION("""COMPUTED_VALUE"""),490.0)</f>
        <v>490</v>
      </c>
      <c r="L77" s="16">
        <f>IFERROR(__xludf.DUMMYFUNCTION("""COMPUTED_VALUE"""),57.0)</f>
        <v>57</v>
      </c>
      <c r="M77" s="16">
        <f>IFERROR(__xludf.DUMMYFUNCTION("""COMPUTED_VALUE"""),10.0)</f>
        <v>10</v>
      </c>
      <c r="N77" s="16">
        <f>IFERROR(__xludf.DUMMYFUNCTION("""COMPUTED_VALUE"""),1571.0)</f>
        <v>1571</v>
      </c>
      <c r="O77" s="16">
        <f>IFERROR(__xludf.DUMMYFUNCTION("""COMPUTED_VALUE"""),47942.0)</f>
        <v>47942</v>
      </c>
      <c r="P77" s="16">
        <f>IFERROR(__xludf.DUMMYFUNCTION("""COMPUTED_VALUE"""),153.0)</f>
        <v>153</v>
      </c>
      <c r="Q77" s="16">
        <f>IFERROR(__xludf.DUMMYFUNCTION("""COMPUTED_VALUE"""),121352.0)</f>
        <v>121352</v>
      </c>
      <c r="R77" s="16">
        <f>IFERROR(__xludf.DUMMYFUNCTION("""COMPUTED_VALUE"""),21828.0)</f>
        <v>21828</v>
      </c>
      <c r="S77" s="16">
        <f>IFERROR(__xludf.DUMMYFUNCTION("""COMPUTED_VALUE"""),133.0)</f>
        <v>133</v>
      </c>
      <c r="T77" s="16">
        <f>IFERROR(__xludf.DUMMYFUNCTION("""COMPUTED_VALUE"""),41574.0)</f>
        <v>41574</v>
      </c>
      <c r="U77" s="16"/>
      <c r="V77" s="16">
        <f>IFERROR(__xludf.DUMMYFUNCTION("""COMPUTED_VALUE"""),10138.0)</f>
        <v>10138</v>
      </c>
      <c r="W77" s="16">
        <f>IFERROR(__xludf.DUMMYFUNCTION("""COMPUTED_VALUE"""),71.0)</f>
        <v>71</v>
      </c>
      <c r="X77" s="16">
        <f>IFERROR(__xludf.DUMMYFUNCTION("""COMPUTED_VALUE"""),56754.0)</f>
        <v>56754</v>
      </c>
      <c r="Y77" s="16">
        <f>IFERROR(__xludf.DUMMYFUNCTION("""COMPUTED_VALUE"""),5290.0)</f>
        <v>5290</v>
      </c>
      <c r="Z77" s="16">
        <f>IFERROR(__xludf.DUMMYFUNCTION("""COMPUTED_VALUE"""),45000.0)</f>
        <v>45000</v>
      </c>
      <c r="AA77" s="16">
        <f>IFERROR(__xludf.DUMMYFUNCTION("""COMPUTED_VALUE"""),9786.0)</f>
        <v>9786</v>
      </c>
      <c r="AB77" s="16">
        <f>IFERROR(__xludf.DUMMYFUNCTION("""COMPUTED_VALUE"""),134950.0)</f>
        <v>134950</v>
      </c>
      <c r="AC77" s="17">
        <v>497099.0</v>
      </c>
      <c r="AD77" s="10"/>
      <c r="AE77" s="10"/>
      <c r="AF77" s="10"/>
      <c r="AG77" s="10"/>
      <c r="AH77" s="10"/>
      <c r="AI77" s="10"/>
    </row>
    <row r="78">
      <c r="A78" s="14"/>
      <c r="B78" s="15" t="str">
        <f>IFERROR(__xludf.DUMMYFUNCTION("""COMPUTED_VALUE"""),"2025 Q4")</f>
        <v>2025 Q4</v>
      </c>
      <c r="C78" s="16">
        <f>IFERROR(__xludf.DUMMYFUNCTION("""COMPUTED_VALUE"""),1988.0)</f>
        <v>1988</v>
      </c>
      <c r="D78" s="16">
        <f>IFERROR(__xludf.DUMMYFUNCTION("""COMPUTED_VALUE"""),193199.0)</f>
        <v>193199</v>
      </c>
      <c r="E78" s="16">
        <f>IFERROR(__xludf.DUMMYFUNCTION("""COMPUTED_VALUE"""),64904.0)</f>
        <v>64904</v>
      </c>
      <c r="F78" s="16">
        <f>IFERROR(__xludf.DUMMYFUNCTION("""COMPUTED_VALUE"""),47721.0)</f>
        <v>47721</v>
      </c>
      <c r="G78" s="16">
        <f>IFERROR(__xludf.DUMMYFUNCTION("""COMPUTED_VALUE"""),110415.0)</f>
        <v>110415</v>
      </c>
      <c r="H78" s="17">
        <v>418227.0</v>
      </c>
      <c r="I78" s="14"/>
      <c r="J78" s="15" t="str">
        <f>IFERROR(__xludf.DUMMYFUNCTION("""COMPUTED_VALUE"""),"2025 Q4")</f>
        <v>2025 Q4</v>
      </c>
      <c r="K78" s="16">
        <f>IFERROR(__xludf.DUMMYFUNCTION("""COMPUTED_VALUE"""),200.0)</f>
        <v>200</v>
      </c>
      <c r="L78" s="16">
        <f>IFERROR(__xludf.DUMMYFUNCTION("""COMPUTED_VALUE"""),106.0)</f>
        <v>106</v>
      </c>
      <c r="M78" s="16">
        <f>IFERROR(__xludf.DUMMYFUNCTION("""COMPUTED_VALUE"""),17.0)</f>
        <v>17</v>
      </c>
      <c r="N78" s="16">
        <f>IFERROR(__xludf.DUMMYFUNCTION("""COMPUTED_VALUE"""),1665.0)</f>
        <v>1665</v>
      </c>
      <c r="O78" s="16">
        <f>IFERROR(__xludf.DUMMYFUNCTION("""COMPUTED_VALUE"""),60500.0)</f>
        <v>60500</v>
      </c>
      <c r="P78" s="16">
        <f>IFERROR(__xludf.DUMMYFUNCTION("""COMPUTED_VALUE"""),205.0)</f>
        <v>205</v>
      </c>
      <c r="Q78" s="16">
        <f>IFERROR(__xludf.DUMMYFUNCTION("""COMPUTED_VALUE"""),132494.0)</f>
        <v>132494</v>
      </c>
      <c r="R78" s="16">
        <f>IFERROR(__xludf.DUMMYFUNCTION("""COMPUTED_VALUE"""),23407.0)</f>
        <v>23407</v>
      </c>
      <c r="S78" s="16">
        <f>IFERROR(__xludf.DUMMYFUNCTION("""COMPUTED_VALUE"""),374.0)</f>
        <v>374</v>
      </c>
      <c r="T78" s="16">
        <f>IFERROR(__xludf.DUMMYFUNCTION("""COMPUTED_VALUE"""),41123.0)</f>
        <v>41123</v>
      </c>
      <c r="U78" s="16">
        <f>IFERROR(__xludf.DUMMYFUNCTION("""COMPUTED_VALUE"""),356.0)</f>
        <v>356</v>
      </c>
      <c r="V78" s="16">
        <f>IFERROR(__xludf.DUMMYFUNCTION("""COMPUTED_VALUE"""),10242.0)</f>
        <v>10242</v>
      </c>
      <c r="W78" s="16">
        <f>IFERROR(__xludf.DUMMYFUNCTION("""COMPUTED_VALUE"""),338.0)</f>
        <v>338</v>
      </c>
      <c r="X78" s="16">
        <f>IFERROR(__xludf.DUMMYFUNCTION("""COMPUTED_VALUE"""),36785.0)</f>
        <v>36785</v>
      </c>
      <c r="Y78" s="16">
        <f>IFERROR(__xludf.DUMMYFUNCTION("""COMPUTED_VALUE"""),3700.0)</f>
        <v>3700</v>
      </c>
      <c r="Z78" s="16">
        <f>IFERROR(__xludf.DUMMYFUNCTION("""COMPUTED_VALUE"""),22170.0)</f>
        <v>22170</v>
      </c>
      <c r="AA78" s="16">
        <f>IFERROR(__xludf.DUMMYFUNCTION("""COMPUTED_VALUE"""),6452.0)</f>
        <v>6452</v>
      </c>
      <c r="AB78" s="16">
        <f>IFERROR(__xludf.DUMMYFUNCTION("""COMPUTED_VALUE"""),78093.0)</f>
        <v>78093</v>
      </c>
      <c r="AC78" s="17">
        <v>418227.0</v>
      </c>
      <c r="AD78" s="10"/>
      <c r="AE78" s="10"/>
      <c r="AF78" s="10"/>
      <c r="AG78" s="10"/>
      <c r="AH78" s="10"/>
      <c r="AI78" s="10"/>
    </row>
    <row r="79">
      <c r="A79" s="14"/>
      <c r="B79" s="23" t="str">
        <f>IFERROR(__xludf.DUMMYFUNCTION("""COMPUTED_VALUE"""),"Total")</f>
        <v>Total</v>
      </c>
      <c r="C79" s="17">
        <f>IFERROR(__xludf.DUMMYFUNCTION("""COMPUTED_VALUE"""),227884.0)</f>
        <v>227884</v>
      </c>
      <c r="D79" s="17">
        <f>IFERROR(__xludf.DUMMYFUNCTION("""COMPUTED_VALUE"""),2891283.0)</f>
        <v>2891283</v>
      </c>
      <c r="E79" s="17">
        <f>IFERROR(__xludf.DUMMYFUNCTION("""COMPUTED_VALUE"""),1646943.0)</f>
        <v>1646943</v>
      </c>
      <c r="F79" s="17">
        <f>IFERROR(__xludf.DUMMYFUNCTION("""COMPUTED_VALUE"""),657995.0)</f>
        <v>657995</v>
      </c>
      <c r="G79" s="17">
        <f>IFERROR(__xludf.DUMMYFUNCTION("""COMPUTED_VALUE"""),3459619.0)</f>
        <v>3459619</v>
      </c>
      <c r="H79" s="17">
        <v>8883724.0</v>
      </c>
      <c r="I79" s="14"/>
      <c r="J79" s="23" t="str">
        <f>IFERROR(__xludf.DUMMYFUNCTION("""COMPUTED_VALUE"""),"Total")</f>
        <v>Total</v>
      </c>
      <c r="K79" s="17">
        <f>IFERROR(__xludf.DUMMYFUNCTION("""COMPUTED_VALUE"""),3237.0)</f>
        <v>3237</v>
      </c>
      <c r="L79" s="17">
        <f>IFERROR(__xludf.DUMMYFUNCTION("""COMPUTED_VALUE"""),104339.0)</f>
        <v>104339</v>
      </c>
      <c r="M79" s="17">
        <f>IFERROR(__xludf.DUMMYFUNCTION("""COMPUTED_VALUE"""),23207.0)</f>
        <v>23207</v>
      </c>
      <c r="N79" s="17">
        <f>IFERROR(__xludf.DUMMYFUNCTION("""COMPUTED_VALUE"""),97101.0)</f>
        <v>97101</v>
      </c>
      <c r="O79" s="17">
        <f>IFERROR(__xludf.DUMMYFUNCTION("""COMPUTED_VALUE"""),968981.0)</f>
        <v>968981</v>
      </c>
      <c r="P79" s="17">
        <f>IFERROR(__xludf.DUMMYFUNCTION("""COMPUTED_VALUE"""),75095.0)</f>
        <v>75095</v>
      </c>
      <c r="Q79" s="17">
        <f>IFERROR(__xludf.DUMMYFUNCTION("""COMPUTED_VALUE"""),1847207.0)</f>
        <v>1847207</v>
      </c>
      <c r="R79" s="17">
        <f>IFERROR(__xludf.DUMMYFUNCTION("""COMPUTED_VALUE"""),709725.0)</f>
        <v>709725</v>
      </c>
      <c r="S79" s="17">
        <f>IFERROR(__xludf.DUMMYFUNCTION("""COMPUTED_VALUE"""),147042.0)</f>
        <v>147042</v>
      </c>
      <c r="T79" s="17">
        <f>IFERROR(__xludf.DUMMYFUNCTION("""COMPUTED_VALUE"""),790176.0)</f>
        <v>790176</v>
      </c>
      <c r="U79" s="17">
        <f>IFERROR(__xludf.DUMMYFUNCTION("""COMPUTED_VALUE"""),356.0)</f>
        <v>356</v>
      </c>
      <c r="V79" s="17">
        <f>IFERROR(__xludf.DUMMYFUNCTION("""COMPUTED_VALUE"""),249445.0)</f>
        <v>249445</v>
      </c>
      <c r="W79" s="17">
        <f>IFERROR(__xludf.DUMMYFUNCTION("""COMPUTED_VALUE"""),33568.0)</f>
        <v>33568</v>
      </c>
      <c r="X79" s="17">
        <f>IFERROR(__xludf.DUMMYFUNCTION("""COMPUTED_VALUE"""),374626.0)</f>
        <v>374626</v>
      </c>
      <c r="Y79" s="17">
        <f>IFERROR(__xludf.DUMMYFUNCTION("""COMPUTED_VALUE"""),58092.0)</f>
        <v>58092</v>
      </c>
      <c r="Z79" s="17">
        <f>IFERROR(__xludf.DUMMYFUNCTION("""COMPUTED_VALUE"""),1299275.0)</f>
        <v>1299275</v>
      </c>
      <c r="AA79" s="17">
        <f>IFERROR(__xludf.DUMMYFUNCTION("""COMPUTED_VALUE"""),464394.0)</f>
        <v>464394</v>
      </c>
      <c r="AB79" s="17">
        <f>IFERROR(__xludf.DUMMYFUNCTION("""COMPUTED_VALUE"""),1637858.0)</f>
        <v>1637858</v>
      </c>
      <c r="AC79" s="17">
        <v>8883724.0</v>
      </c>
      <c r="AD79" s="10"/>
      <c r="AE79" s="10"/>
      <c r="AF79" s="10"/>
      <c r="AG79" s="10"/>
      <c r="AH79" s="10"/>
      <c r="AI79" s="10"/>
    </row>
    <row r="80">
      <c r="A80" s="14"/>
      <c r="B80" s="14"/>
      <c r="C80" s="10"/>
      <c r="D80" s="10"/>
      <c r="E80" s="10"/>
      <c r="F80" s="10"/>
      <c r="G80" s="10"/>
      <c r="H80" s="10"/>
      <c r="I80" s="14"/>
      <c r="J80" s="14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4"/>
      <c r="B81" s="14"/>
      <c r="C81" s="10"/>
      <c r="D81" s="10"/>
      <c r="E81" s="10"/>
      <c r="F81" s="10"/>
      <c r="G81" s="10"/>
      <c r="H81" s="10"/>
      <c r="I81" s="14"/>
      <c r="J81" s="14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4"/>
      <c r="B82" s="14"/>
      <c r="C82" s="10"/>
      <c r="D82" s="10"/>
      <c r="E82" s="10"/>
      <c r="F82" s="10"/>
      <c r="G82" s="10"/>
      <c r="H82" s="10"/>
      <c r="I82" s="14"/>
      <c r="J82" s="14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4"/>
      <c r="B83" s="19" t="s">
        <v>3</v>
      </c>
      <c r="C83" s="10"/>
      <c r="D83" s="10"/>
      <c r="E83" s="10"/>
      <c r="F83" s="10"/>
      <c r="G83" s="10"/>
      <c r="H83" s="10"/>
      <c r="I83" s="14"/>
      <c r="J83" s="14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4"/>
      <c r="B84" s="19" t="s">
        <v>4</v>
      </c>
      <c r="C84" s="10"/>
      <c r="D84" s="10"/>
      <c r="E84" s="10"/>
      <c r="F84" s="10"/>
      <c r="G84" s="10"/>
      <c r="H84" s="10"/>
      <c r="I84" s="14"/>
      <c r="J84" s="14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4"/>
      <c r="B85" s="19" t="s">
        <v>5</v>
      </c>
      <c r="C85" s="10"/>
      <c r="D85" s="10"/>
      <c r="E85" s="10"/>
      <c r="F85" s="10"/>
      <c r="G85" s="10"/>
      <c r="H85" s="10"/>
      <c r="I85" s="14"/>
      <c r="J85" s="14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4"/>
      <c r="B86" s="19" t="s">
        <v>6</v>
      </c>
      <c r="C86" s="10"/>
      <c r="D86" s="10"/>
      <c r="E86" s="10"/>
      <c r="F86" s="10"/>
      <c r="G86" s="10"/>
      <c r="H86" s="10"/>
      <c r="I86" s="14"/>
      <c r="J86" s="14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4"/>
      <c r="B87" s="19" t="s">
        <v>7</v>
      </c>
      <c r="C87" s="10"/>
      <c r="D87" s="10"/>
      <c r="E87" s="10"/>
      <c r="F87" s="10"/>
      <c r="G87" s="10"/>
      <c r="H87" s="10"/>
      <c r="I87" s="14"/>
      <c r="J87" s="14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4"/>
      <c r="B88" s="19" t="s">
        <v>8</v>
      </c>
      <c r="C88" s="10"/>
      <c r="D88" s="10"/>
      <c r="E88" s="10"/>
      <c r="F88" s="10"/>
      <c r="G88" s="10"/>
      <c r="H88" s="10"/>
      <c r="I88" s="14"/>
      <c r="J88" s="14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4"/>
      <c r="B89" s="19" t="s">
        <v>9</v>
      </c>
      <c r="C89" s="10"/>
      <c r="D89" s="10"/>
      <c r="E89" s="10"/>
      <c r="F89" s="10"/>
      <c r="G89" s="10"/>
      <c r="H89" s="10"/>
      <c r="I89" s="14"/>
      <c r="J89" s="14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4"/>
      <c r="B90" s="19" t="s">
        <v>10</v>
      </c>
      <c r="C90" s="10"/>
      <c r="D90" s="10"/>
      <c r="E90" s="10"/>
      <c r="F90" s="10"/>
      <c r="G90" s="10"/>
      <c r="H90" s="10"/>
      <c r="I90" s="14"/>
      <c r="J90" s="14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4"/>
      <c r="B91" s="19" t="s">
        <v>11</v>
      </c>
      <c r="C91" s="10"/>
      <c r="D91" s="10"/>
      <c r="E91" s="10"/>
      <c r="F91" s="10"/>
      <c r="G91" s="10"/>
      <c r="H91" s="10"/>
      <c r="I91" s="14"/>
      <c r="J91" s="14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4"/>
      <c r="B92" s="19" t="s">
        <v>12</v>
      </c>
      <c r="C92" s="10"/>
      <c r="D92" s="10"/>
      <c r="E92" s="10"/>
      <c r="F92" s="10"/>
      <c r="G92" s="10"/>
      <c r="H92" s="10"/>
      <c r="I92" s="14"/>
      <c r="J92" s="14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4"/>
      <c r="B93" s="19" t="s">
        <v>13</v>
      </c>
      <c r="C93" s="10"/>
      <c r="D93" s="10"/>
      <c r="E93" s="10"/>
      <c r="F93" s="10"/>
      <c r="G93" s="10"/>
      <c r="H93" s="10"/>
      <c r="I93" s="14"/>
      <c r="J93" s="14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4"/>
      <c r="B94" s="19" t="s">
        <v>14</v>
      </c>
      <c r="C94" s="10"/>
      <c r="D94" s="10"/>
      <c r="E94" s="10"/>
      <c r="F94" s="10"/>
      <c r="G94" s="10"/>
      <c r="H94" s="10"/>
      <c r="I94" s="14"/>
      <c r="J94" s="14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4"/>
      <c r="B95" s="19" t="s">
        <v>15</v>
      </c>
      <c r="C95" s="10"/>
      <c r="D95" s="10"/>
      <c r="E95" s="10"/>
      <c r="F95" s="10"/>
      <c r="G95" s="10"/>
      <c r="H95" s="10"/>
      <c r="I95" s="14"/>
      <c r="J95" s="14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4"/>
      <c r="B96" s="14"/>
      <c r="C96" s="10"/>
      <c r="D96" s="10"/>
      <c r="E96" s="10"/>
      <c r="F96" s="10"/>
      <c r="G96" s="10"/>
      <c r="H96" s="10"/>
      <c r="I96" s="14"/>
      <c r="J96" s="14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4"/>
      <c r="B97" s="14"/>
      <c r="C97" s="10"/>
      <c r="D97" s="10"/>
      <c r="E97" s="10"/>
      <c r="F97" s="10"/>
      <c r="G97" s="10"/>
      <c r="H97" s="10"/>
      <c r="I97" s="14"/>
      <c r="J97" s="14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4"/>
      <c r="B98" s="14"/>
      <c r="C98" s="10"/>
      <c r="D98" s="10"/>
      <c r="E98" s="10"/>
      <c r="F98" s="10"/>
      <c r="G98" s="10"/>
      <c r="H98" s="10"/>
      <c r="I98" s="14"/>
      <c r="J98" s="14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4"/>
      <c r="B99" s="14"/>
      <c r="C99" s="10"/>
      <c r="D99" s="10"/>
      <c r="E99" s="10"/>
      <c r="F99" s="10"/>
      <c r="G99" s="10"/>
      <c r="H99" s="10"/>
      <c r="I99" s="14"/>
      <c r="J99" s="14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4"/>
      <c r="B100" s="14"/>
      <c r="C100" s="10"/>
      <c r="D100" s="10"/>
      <c r="E100" s="10"/>
      <c r="F100" s="10"/>
      <c r="G100" s="10"/>
      <c r="H100" s="10"/>
      <c r="I100" s="14"/>
      <c r="J100" s="14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4"/>
      <c r="B101" s="14"/>
      <c r="C101" s="10"/>
      <c r="D101" s="10"/>
      <c r="E101" s="10"/>
      <c r="F101" s="10"/>
      <c r="G101" s="10"/>
      <c r="H101" s="10"/>
      <c r="I101" s="14"/>
      <c r="J101" s="14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6" width="9.13"/>
    <col customWidth="1" min="7" max="7" width="5.13"/>
    <col customWidth="1" min="8" max="8" width="10.13"/>
    <col customWidth="1" min="9" max="32" width="9.13"/>
  </cols>
  <sheetData>
    <row r="1">
      <c r="A1" s="1"/>
      <c r="B1" s="1"/>
      <c r="C1" s="1"/>
      <c r="D1" s="1"/>
      <c r="E1" s="1"/>
      <c r="F1" s="1"/>
      <c r="G1" s="1"/>
      <c r="H1" s="2"/>
      <c r="I1" s="3" t="str">
        <f>IFERROR(__xludf.DUMMYFUNCTION("transpose(split(I3,"",""))"),"APAC")</f>
        <v>APAC</v>
      </c>
      <c r="J1" s="3" t="str">
        <f>IFERROR(__xludf.DUMMYFUNCTION("transpose(split(J3,"",""))"),"APAC")</f>
        <v>APAC</v>
      </c>
      <c r="K1" s="3" t="str">
        <f>IFERROR(__xludf.DUMMYFUNCTION("transpose(split(K3,"",""))"),"APAC")</f>
        <v>APAC</v>
      </c>
      <c r="L1" s="3" t="str">
        <f>IFERROR(__xludf.DUMMYFUNCTION("transpose(split(L3,"",""))"),"APAC")</f>
        <v>APAC</v>
      </c>
      <c r="M1" s="3" t="str">
        <f>IFERROR(__xludf.DUMMYFUNCTION("transpose(split(M3,"",""))"),"Europe")</f>
        <v>Europe</v>
      </c>
      <c r="N1" s="3" t="str">
        <f>IFERROR(__xludf.DUMMYFUNCTION("transpose(split(N3,"",""))"),"Europe")</f>
        <v>Europe</v>
      </c>
      <c r="O1" s="3" t="str">
        <f>IFERROR(__xludf.DUMMYFUNCTION("transpose(split(O3,"",""))"),"Europe")</f>
        <v>Europe</v>
      </c>
      <c r="P1" s="3" t="str">
        <f>IFERROR(__xludf.DUMMYFUNCTION("transpose(split(P3,"",""))"),"North America")</f>
        <v>North America</v>
      </c>
      <c r="Q1" s="3" t="str">
        <f>IFERROR(__xludf.DUMMYFUNCTION("transpose(split(Q3,"",""))"),"North America")</f>
        <v>North America</v>
      </c>
      <c r="R1" s="3" t="str">
        <f>IFERROR(__xludf.DUMMYFUNCTION("transpose(split(R3,"",""))"),"North America")</f>
        <v>North America</v>
      </c>
      <c r="S1" s="3" t="str">
        <f>IFERROR(__xludf.DUMMYFUNCTION("transpose(split(S3,"",""))"),"North America")</f>
        <v>North America</v>
      </c>
      <c r="T1" s="6" t="s">
        <v>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/>
      <c r="B2" s="24" t="s">
        <v>0</v>
      </c>
      <c r="C2" s="25" t="str">
        <f t="shared" ref="C2:E2" si="1">C3</f>
        <v>APAC</v>
      </c>
      <c r="D2" s="25" t="str">
        <f t="shared" si="1"/>
        <v>Europe</v>
      </c>
      <c r="E2" s="26" t="str">
        <f t="shared" si="1"/>
        <v>North America</v>
      </c>
      <c r="F2" s="27" t="str">
        <f t="array" ref="F2:F18">{"All models";"";if($H4:$H18="",,mmult(n($I$4:$S$18),transpose(sign(column($I$4:$S$18)))))}</f>
        <v>All models</v>
      </c>
      <c r="G2" s="5"/>
      <c r="H2" s="7" t="s">
        <v>0</v>
      </c>
      <c r="I2" s="8" t="str">
        <f>IFERROR(__xludf.DUMMYFUNCTION("""COMPUTED_VALUE"""),"Cybertruck")</f>
        <v>Cybertruck</v>
      </c>
      <c r="J2" s="8" t="str">
        <f>IFERROR(__xludf.DUMMYFUNCTION("""COMPUTED_VALUE"""),"Model 3")</f>
        <v>Model 3</v>
      </c>
      <c r="K2" s="8" t="str">
        <f>IFERROR(__xludf.DUMMYFUNCTION("""COMPUTED_VALUE"""),"Model S/X")</f>
        <v>Model S/X</v>
      </c>
      <c r="L2" s="8" t="str">
        <f>IFERROR(__xludf.DUMMYFUNCTION("""COMPUTED_VALUE"""),"Model Y")</f>
        <v>Model Y</v>
      </c>
      <c r="M2" s="8" t="str">
        <f>IFERROR(__xludf.DUMMYFUNCTION("""COMPUTED_VALUE"""),"Model 3")</f>
        <v>Model 3</v>
      </c>
      <c r="N2" s="8" t="str">
        <f>IFERROR(__xludf.DUMMYFUNCTION("""COMPUTED_VALUE"""),"Model S/X")</f>
        <v>Model S/X</v>
      </c>
      <c r="O2" s="8" t="str">
        <f>IFERROR(__xludf.DUMMYFUNCTION("""COMPUTED_VALUE"""),"Model Y")</f>
        <v>Model Y</v>
      </c>
      <c r="P2" s="8" t="str">
        <f>IFERROR(__xludf.DUMMYFUNCTION("""COMPUTED_VALUE"""),"Cybertruck")</f>
        <v>Cybertruck</v>
      </c>
      <c r="Q2" s="8" t="str">
        <f>IFERROR(__xludf.DUMMYFUNCTION("""COMPUTED_VALUE"""),"Model 3")</f>
        <v>Model 3</v>
      </c>
      <c r="R2" s="8" t="str">
        <f>IFERROR(__xludf.DUMMYFUNCTION("""COMPUTED_VALUE"""),"Model S/X")</f>
        <v>Model S/X</v>
      </c>
      <c r="S2" s="8" t="str">
        <f>IFERROR(__xludf.DUMMYFUNCTION("""COMPUTED_VALUE"""),"Model Y")</f>
        <v>Model Y</v>
      </c>
      <c r="T2" s="9" t="str">
        <f t="array" ref="T2:T18">{"All models";"";if($H4:$H18="",,mmult(n($I$4:$S$18),transpose(sign(column($I$4:$S$18)))))}</f>
        <v>All models</v>
      </c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hidden="1">
      <c r="A3" s="11"/>
      <c r="B3" s="12" t="str">
        <f>IFERROR(__xludf.DUMMYFUNCTION("{query({Delivery_Data!$A:$I},""select Col1,sum(Col8) where Col1 is not null and Col8 is not null group by Col1 pivot Col7"",1);index(query({Delivery_Data!$A:$I},""select 'Total',sum(Col8) where Col1 is not null and Col8 is not null pivot Col7"",1),2,0)}"),"Year")</f>
        <v>Year</v>
      </c>
      <c r="C3" s="13" t="str">
        <f>IFERROR(__xludf.DUMMYFUNCTION("""COMPUTED_VALUE"""),"APAC")</f>
        <v>APAC</v>
      </c>
      <c r="D3" s="13" t="str">
        <f>IFERROR(__xludf.DUMMYFUNCTION("""COMPUTED_VALUE"""),"Europe")</f>
        <v>Europe</v>
      </c>
      <c r="E3" s="13" t="str">
        <f>IFERROR(__xludf.DUMMYFUNCTION("""COMPUTED_VALUE"""),"North America")</f>
        <v>North America</v>
      </c>
      <c r="F3" s="13" t="s">
        <v>16</v>
      </c>
      <c r="G3" s="11"/>
      <c r="H3" s="12" t="str">
        <f>IFERROR(__xludf.DUMMYFUNCTION("{query({Delivery_Data!$A:$I},""select Col1,sum(Col8) where Col1 is not null and Col8 is not null group by Col1 pivot Col7,Col4"",1);index(query({Delivery_Data!$A:$I},""select 'Total',sum(Col8) where Col1 is not null and Col8 is not null pivot Col7,Col4"","&amp;"1),2,0)}"),"Year")</f>
        <v>Year</v>
      </c>
      <c r="I3" s="13" t="str">
        <f>IFERROR(__xludf.DUMMYFUNCTION("""COMPUTED_VALUE"""),"APAC,Cybertruck")</f>
        <v>APAC,Cybertruck</v>
      </c>
      <c r="J3" s="13" t="str">
        <f>IFERROR(__xludf.DUMMYFUNCTION("""COMPUTED_VALUE"""),"APAC,Model 3")</f>
        <v>APAC,Model 3</v>
      </c>
      <c r="K3" s="13" t="str">
        <f>IFERROR(__xludf.DUMMYFUNCTION("""COMPUTED_VALUE"""),"APAC,Model S/X")</f>
        <v>APAC,Model S/X</v>
      </c>
      <c r="L3" s="13" t="str">
        <f>IFERROR(__xludf.DUMMYFUNCTION("""COMPUTED_VALUE"""),"APAC,Model Y")</f>
        <v>APAC,Model Y</v>
      </c>
      <c r="M3" s="13" t="str">
        <f>IFERROR(__xludf.DUMMYFUNCTION("""COMPUTED_VALUE"""),"Europe,Model 3")</f>
        <v>Europe,Model 3</v>
      </c>
      <c r="N3" s="13" t="str">
        <f>IFERROR(__xludf.DUMMYFUNCTION("""COMPUTED_VALUE"""),"Europe,Model S/X")</f>
        <v>Europe,Model S/X</v>
      </c>
      <c r="O3" s="13" t="str">
        <f>IFERROR(__xludf.DUMMYFUNCTION("""COMPUTED_VALUE"""),"Europe,Model Y")</f>
        <v>Europe,Model Y</v>
      </c>
      <c r="P3" s="13" t="str">
        <f>IFERROR(__xludf.DUMMYFUNCTION("""COMPUTED_VALUE"""),"North America,Cybertruck")</f>
        <v>North America,Cybertruck</v>
      </c>
      <c r="Q3" s="13" t="str">
        <f>IFERROR(__xludf.DUMMYFUNCTION("""COMPUTED_VALUE"""),"North America,Model 3")</f>
        <v>North America,Model 3</v>
      </c>
      <c r="R3" s="13" t="str">
        <f>IFERROR(__xludf.DUMMYFUNCTION("""COMPUTED_VALUE"""),"North America,Model S/X")</f>
        <v>North America,Model S/X</v>
      </c>
      <c r="S3" s="13" t="str">
        <f>IFERROR(__xludf.DUMMYFUNCTION("""COMPUTED_VALUE"""),"North America,Model Y")</f>
        <v>North America,Model Y</v>
      </c>
      <c r="T3" s="13" t="s">
        <v>16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14"/>
      <c r="B4" s="15">
        <f>IFERROR(__xludf.DUMMYFUNCTION("""COMPUTED_VALUE"""),2012.0)</f>
        <v>2012</v>
      </c>
      <c r="C4" s="16"/>
      <c r="D4" s="16"/>
      <c r="E4" s="16">
        <f>IFERROR(__xludf.DUMMYFUNCTION("""COMPUTED_VALUE"""),2650.0)</f>
        <v>2650</v>
      </c>
      <c r="F4" s="17">
        <v>2650.0</v>
      </c>
      <c r="G4" s="14"/>
      <c r="H4" s="15">
        <f>IFERROR(__xludf.DUMMYFUNCTION("""COMPUTED_VALUE"""),2012.0)</f>
        <v>2012</v>
      </c>
      <c r="I4" s="16"/>
      <c r="J4" s="16"/>
      <c r="K4" s="16"/>
      <c r="L4" s="16"/>
      <c r="M4" s="16"/>
      <c r="N4" s="16"/>
      <c r="O4" s="16"/>
      <c r="P4" s="16"/>
      <c r="Q4" s="16"/>
      <c r="R4" s="16">
        <f>IFERROR(__xludf.DUMMYFUNCTION("""COMPUTED_VALUE"""),2650.0)</f>
        <v>2650</v>
      </c>
      <c r="S4" s="16"/>
      <c r="T4" s="17">
        <v>2650.0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>
      <c r="A5" s="14"/>
      <c r="B5" s="15">
        <f>IFERROR(__xludf.DUMMYFUNCTION("""COMPUTED_VALUE"""),2013.0)</f>
        <v>2013</v>
      </c>
      <c r="C5" s="16"/>
      <c r="D5" s="16">
        <f>IFERROR(__xludf.DUMMYFUNCTION("""COMPUTED_VALUE"""),3893.0)</f>
        <v>3893</v>
      </c>
      <c r="E5" s="16">
        <f>IFERROR(__xludf.DUMMYFUNCTION("""COMPUTED_VALUE"""),18584.0)</f>
        <v>18584</v>
      </c>
      <c r="F5" s="17">
        <v>22477.0</v>
      </c>
      <c r="G5" s="14"/>
      <c r="H5" s="15">
        <f>IFERROR(__xludf.DUMMYFUNCTION("""COMPUTED_VALUE"""),2013.0)</f>
        <v>2013</v>
      </c>
      <c r="I5" s="16"/>
      <c r="J5" s="16"/>
      <c r="K5" s="16"/>
      <c r="L5" s="16"/>
      <c r="M5" s="16"/>
      <c r="N5" s="16">
        <f>IFERROR(__xludf.DUMMYFUNCTION("""COMPUTED_VALUE"""),3893.0)</f>
        <v>3893</v>
      </c>
      <c r="O5" s="16"/>
      <c r="P5" s="16"/>
      <c r="Q5" s="16"/>
      <c r="R5" s="16">
        <f>IFERROR(__xludf.DUMMYFUNCTION("""COMPUTED_VALUE"""),18584.0)</f>
        <v>18584</v>
      </c>
      <c r="S5" s="16"/>
      <c r="T5" s="17">
        <v>22477.0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>
      <c r="A6" s="14"/>
      <c r="B6" s="15">
        <f>IFERROR(__xludf.DUMMYFUNCTION("""COMPUTED_VALUE"""),2014.0)</f>
        <v>2014</v>
      </c>
      <c r="C6" s="16">
        <f>IFERROR(__xludf.DUMMYFUNCTION("""COMPUTED_VALUE"""),4661.0)</f>
        <v>4661</v>
      </c>
      <c r="D6" s="16">
        <f>IFERROR(__xludf.DUMMYFUNCTION("""COMPUTED_VALUE"""),9521.0)</f>
        <v>9521</v>
      </c>
      <c r="E6" s="16">
        <f>IFERROR(__xludf.DUMMYFUNCTION("""COMPUTED_VALUE"""),17473.0)</f>
        <v>17473</v>
      </c>
      <c r="F6" s="17">
        <v>31655.0</v>
      </c>
      <c r="G6" s="14"/>
      <c r="H6" s="15">
        <f>IFERROR(__xludf.DUMMYFUNCTION("""COMPUTED_VALUE"""),2014.0)</f>
        <v>2014</v>
      </c>
      <c r="I6" s="16"/>
      <c r="J6" s="16"/>
      <c r="K6" s="16">
        <f>IFERROR(__xludf.DUMMYFUNCTION("""COMPUTED_VALUE"""),4661.0)</f>
        <v>4661</v>
      </c>
      <c r="L6" s="16"/>
      <c r="M6" s="16"/>
      <c r="N6" s="16">
        <f>IFERROR(__xludf.DUMMYFUNCTION("""COMPUTED_VALUE"""),9521.0)</f>
        <v>9521</v>
      </c>
      <c r="O6" s="16"/>
      <c r="P6" s="16"/>
      <c r="Q6" s="16"/>
      <c r="R6" s="16">
        <f>IFERROR(__xludf.DUMMYFUNCTION("""COMPUTED_VALUE"""),17473.0)</f>
        <v>17473</v>
      </c>
      <c r="S6" s="16"/>
      <c r="T6" s="17">
        <v>31655.0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A7" s="14"/>
      <c r="B7" s="15">
        <f>IFERROR(__xludf.DUMMYFUNCTION("""COMPUTED_VALUE"""),2015.0)</f>
        <v>2015</v>
      </c>
      <c r="C7" s="16">
        <f>IFERROR(__xludf.DUMMYFUNCTION("""COMPUTED_VALUE"""),7155.0)</f>
        <v>7155</v>
      </c>
      <c r="D7" s="16">
        <f>IFERROR(__xludf.DUMMYFUNCTION("""COMPUTED_VALUE"""),16701.0)</f>
        <v>16701</v>
      </c>
      <c r="E7" s="16">
        <f>IFERROR(__xludf.DUMMYFUNCTION("""COMPUTED_VALUE"""),26802.0)</f>
        <v>26802</v>
      </c>
      <c r="F7" s="17">
        <v>50658.0</v>
      </c>
      <c r="G7" s="14"/>
      <c r="H7" s="15">
        <f>IFERROR(__xludf.DUMMYFUNCTION("""COMPUTED_VALUE"""),2015.0)</f>
        <v>2015</v>
      </c>
      <c r="I7" s="16"/>
      <c r="J7" s="16"/>
      <c r="K7" s="16">
        <f>IFERROR(__xludf.DUMMYFUNCTION("""COMPUTED_VALUE"""),7155.0)</f>
        <v>7155</v>
      </c>
      <c r="L7" s="16"/>
      <c r="M7" s="16"/>
      <c r="N7" s="16">
        <f>IFERROR(__xludf.DUMMYFUNCTION("""COMPUTED_VALUE"""),16701.0)</f>
        <v>16701</v>
      </c>
      <c r="O7" s="16"/>
      <c r="P7" s="16"/>
      <c r="Q7" s="16"/>
      <c r="R7" s="16">
        <f>IFERROR(__xludf.DUMMYFUNCTION("""COMPUTED_VALUE"""),26802.0)</f>
        <v>26802</v>
      </c>
      <c r="S7" s="16"/>
      <c r="T7" s="17">
        <v>50658.0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14"/>
      <c r="B8" s="15">
        <f>IFERROR(__xludf.DUMMYFUNCTION("""COMPUTED_VALUE"""),2016.0)</f>
        <v>2016</v>
      </c>
      <c r="C8" s="16">
        <f>IFERROR(__xludf.DUMMYFUNCTION("""COMPUTED_VALUE"""),12037.0)</f>
        <v>12037</v>
      </c>
      <c r="D8" s="16">
        <f>IFERROR(__xludf.DUMMYFUNCTION("""COMPUTED_VALUE"""),16230.0)</f>
        <v>16230</v>
      </c>
      <c r="E8" s="16">
        <f>IFERROR(__xludf.DUMMYFUNCTION("""COMPUTED_VALUE"""),48018.0)</f>
        <v>48018</v>
      </c>
      <c r="F8" s="17">
        <v>76285.0</v>
      </c>
      <c r="G8" s="14"/>
      <c r="H8" s="15">
        <f>IFERROR(__xludf.DUMMYFUNCTION("""COMPUTED_VALUE"""),2016.0)</f>
        <v>2016</v>
      </c>
      <c r="I8" s="16"/>
      <c r="J8" s="16"/>
      <c r="K8" s="16">
        <f>IFERROR(__xludf.DUMMYFUNCTION("""COMPUTED_VALUE"""),12037.0)</f>
        <v>12037</v>
      </c>
      <c r="L8" s="16"/>
      <c r="M8" s="16"/>
      <c r="N8" s="16">
        <f>IFERROR(__xludf.DUMMYFUNCTION("""COMPUTED_VALUE"""),16230.0)</f>
        <v>16230</v>
      </c>
      <c r="O8" s="16"/>
      <c r="P8" s="16"/>
      <c r="Q8" s="16"/>
      <c r="R8" s="16">
        <f>IFERROR(__xludf.DUMMYFUNCTION("""COMPUTED_VALUE"""),48018.0)</f>
        <v>48018</v>
      </c>
      <c r="S8" s="16"/>
      <c r="T8" s="17">
        <v>76285.0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>
      <c r="A9" s="14"/>
      <c r="B9" s="15">
        <f>IFERROR(__xludf.DUMMYFUNCTION("""COMPUTED_VALUE"""),2017.0)</f>
        <v>2017</v>
      </c>
      <c r="C9" s="16">
        <f>IFERROR(__xludf.DUMMYFUNCTION("""COMPUTED_VALUE"""),22152.0)</f>
        <v>22152</v>
      </c>
      <c r="D9" s="16">
        <f>IFERROR(__xludf.DUMMYFUNCTION("""COMPUTED_VALUE"""),28279.0)</f>
        <v>28279</v>
      </c>
      <c r="E9" s="16">
        <f>IFERROR(__xludf.DUMMYFUNCTION("""COMPUTED_VALUE"""),52750.0)</f>
        <v>52750</v>
      </c>
      <c r="F9" s="17">
        <v>103181.0</v>
      </c>
      <c r="G9" s="14"/>
      <c r="H9" s="15">
        <f>IFERROR(__xludf.DUMMYFUNCTION("""COMPUTED_VALUE"""),2017.0)</f>
        <v>2017</v>
      </c>
      <c r="I9" s="16"/>
      <c r="J9" s="16"/>
      <c r="K9" s="16">
        <f>IFERROR(__xludf.DUMMYFUNCTION("""COMPUTED_VALUE"""),22152.0)</f>
        <v>22152</v>
      </c>
      <c r="L9" s="16"/>
      <c r="M9" s="16"/>
      <c r="N9" s="16">
        <f>IFERROR(__xludf.DUMMYFUNCTION("""COMPUTED_VALUE"""),28279.0)</f>
        <v>28279</v>
      </c>
      <c r="O9" s="16"/>
      <c r="P9" s="16"/>
      <c r="Q9" s="16">
        <f>IFERROR(__xludf.DUMMYFUNCTION("""COMPUTED_VALUE"""),1764.0)</f>
        <v>1764</v>
      </c>
      <c r="R9" s="16">
        <f>IFERROR(__xludf.DUMMYFUNCTION("""COMPUTED_VALUE"""),50986.0)</f>
        <v>50986</v>
      </c>
      <c r="S9" s="16"/>
      <c r="T9" s="17">
        <v>103181.0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>
      <c r="A10" s="14"/>
      <c r="B10" s="15">
        <f>IFERROR(__xludf.DUMMYFUNCTION("""COMPUTED_VALUE"""),2018.0)</f>
        <v>2018</v>
      </c>
      <c r="C10" s="16">
        <f>IFERROR(__xludf.DUMMYFUNCTION("""COMPUTED_VALUE"""),18408.0)</f>
        <v>18408</v>
      </c>
      <c r="D10" s="16">
        <f>IFERROR(__xludf.DUMMYFUNCTION("""COMPUTED_VALUE"""),29257.0)</f>
        <v>29257</v>
      </c>
      <c r="E10" s="16">
        <f>IFERROR(__xludf.DUMMYFUNCTION("""COMPUTED_VALUE"""),197841.0)</f>
        <v>197841</v>
      </c>
      <c r="F10" s="17">
        <v>245506.0</v>
      </c>
      <c r="G10" s="14"/>
      <c r="H10" s="15">
        <f>IFERROR(__xludf.DUMMYFUNCTION("""COMPUTED_VALUE"""),2018.0)</f>
        <v>2018</v>
      </c>
      <c r="I10" s="16"/>
      <c r="J10" s="16"/>
      <c r="K10" s="16">
        <f>IFERROR(__xludf.DUMMYFUNCTION("""COMPUTED_VALUE"""),18408.0)</f>
        <v>18408</v>
      </c>
      <c r="L10" s="16"/>
      <c r="M10" s="16"/>
      <c r="N10" s="16">
        <f>IFERROR(__xludf.DUMMYFUNCTION("""COMPUTED_VALUE"""),29257.0)</f>
        <v>29257</v>
      </c>
      <c r="O10" s="16"/>
      <c r="P10" s="16"/>
      <c r="Q10" s="16">
        <f>IFERROR(__xludf.DUMMYFUNCTION("""COMPUTED_VALUE"""),146055.0)</f>
        <v>146055</v>
      </c>
      <c r="R10" s="16">
        <f>IFERROR(__xludf.DUMMYFUNCTION("""COMPUTED_VALUE"""),51786.0)</f>
        <v>51786</v>
      </c>
      <c r="S10" s="16"/>
      <c r="T10" s="17">
        <v>245506.0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>
      <c r="A11" s="14"/>
      <c r="B11" s="15">
        <f>IFERROR(__xludf.DUMMYFUNCTION("""COMPUTED_VALUE"""),2019.0)</f>
        <v>2019</v>
      </c>
      <c r="C11" s="16">
        <f>IFERROR(__xludf.DUMMYFUNCTION("""COMPUTED_VALUE"""),53258.0)</f>
        <v>53258</v>
      </c>
      <c r="D11" s="16">
        <f>IFERROR(__xludf.DUMMYFUNCTION("""COMPUTED_VALUE"""),111119.0)</f>
        <v>111119</v>
      </c>
      <c r="E11" s="16">
        <f>IFERROR(__xludf.DUMMYFUNCTION("""COMPUTED_VALUE"""),203279.0)</f>
        <v>203279</v>
      </c>
      <c r="F11" s="17">
        <v>367656.0</v>
      </c>
      <c r="G11" s="14"/>
      <c r="H11" s="15">
        <f>IFERROR(__xludf.DUMMYFUNCTION("""COMPUTED_VALUE"""),2019.0)</f>
        <v>2019</v>
      </c>
      <c r="I11" s="16"/>
      <c r="J11" s="16">
        <f>IFERROR(__xludf.DUMMYFUNCTION("""COMPUTED_VALUE"""),37732.0)</f>
        <v>37732</v>
      </c>
      <c r="K11" s="16">
        <f>IFERROR(__xludf.DUMMYFUNCTION("""COMPUTED_VALUE"""),15526.0)</f>
        <v>15526</v>
      </c>
      <c r="L11" s="16"/>
      <c r="M11" s="16">
        <f>IFERROR(__xludf.DUMMYFUNCTION("""COMPUTED_VALUE"""),95884.0)</f>
        <v>95884</v>
      </c>
      <c r="N11" s="16">
        <f>IFERROR(__xludf.DUMMYFUNCTION("""COMPUTED_VALUE"""),15235.0)</f>
        <v>15235</v>
      </c>
      <c r="O11" s="16"/>
      <c r="P11" s="16"/>
      <c r="Q11" s="16">
        <f>IFERROR(__xludf.DUMMYFUNCTION("""COMPUTED_VALUE"""),167269.0)</f>
        <v>167269</v>
      </c>
      <c r="R11" s="16">
        <f>IFERROR(__xludf.DUMMYFUNCTION("""COMPUTED_VALUE"""),36010.0)</f>
        <v>36010</v>
      </c>
      <c r="S11" s="16"/>
      <c r="T11" s="17">
        <v>367656.0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>
      <c r="A12" s="14"/>
      <c r="B12" s="15">
        <f>IFERROR(__xludf.DUMMYFUNCTION("""COMPUTED_VALUE"""),2020.0)</f>
        <v>2020</v>
      </c>
      <c r="C12" s="16">
        <f>IFERROR(__xludf.DUMMYFUNCTION("""COMPUTED_VALUE"""),173659.0)</f>
        <v>173659</v>
      </c>
      <c r="D12" s="16">
        <f>IFERROR(__xludf.DUMMYFUNCTION("""COMPUTED_VALUE"""),99186.0)</f>
        <v>99186</v>
      </c>
      <c r="E12" s="16">
        <f>IFERROR(__xludf.DUMMYFUNCTION("""COMPUTED_VALUE"""),226802.0)</f>
        <v>226802</v>
      </c>
      <c r="F12" s="17">
        <v>499647.0</v>
      </c>
      <c r="G12" s="14"/>
      <c r="H12" s="15">
        <f>IFERROR(__xludf.DUMMYFUNCTION("""COMPUTED_VALUE"""),2020.0)</f>
        <v>2020</v>
      </c>
      <c r="I12" s="16"/>
      <c r="J12" s="16">
        <f>IFERROR(__xludf.DUMMYFUNCTION("""COMPUTED_VALUE"""),164412.0)</f>
        <v>164412</v>
      </c>
      <c r="K12" s="16">
        <f>IFERROR(__xludf.DUMMYFUNCTION("""COMPUTED_VALUE"""),9247.0)</f>
        <v>9247</v>
      </c>
      <c r="L12" s="16"/>
      <c r="M12" s="16">
        <f>IFERROR(__xludf.DUMMYFUNCTION("""COMPUTED_VALUE"""),87976.0)</f>
        <v>87976</v>
      </c>
      <c r="N12" s="16">
        <f>IFERROR(__xludf.DUMMYFUNCTION("""COMPUTED_VALUE"""),11210.0)</f>
        <v>11210</v>
      </c>
      <c r="O12" s="16"/>
      <c r="P12" s="16"/>
      <c r="Q12" s="16">
        <f>IFERROR(__xludf.DUMMYFUNCTION("""COMPUTED_VALUE"""),103862.0)</f>
        <v>103862</v>
      </c>
      <c r="R12" s="16">
        <f>IFERROR(__xludf.DUMMYFUNCTION("""COMPUTED_VALUE"""),36628.0)</f>
        <v>36628</v>
      </c>
      <c r="S12" s="16">
        <f>IFERROR(__xludf.DUMMYFUNCTION("""COMPUTED_VALUE"""),86312.0)</f>
        <v>86312</v>
      </c>
      <c r="T12" s="17">
        <v>499647.0</v>
      </c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>
      <c r="A13" s="14"/>
      <c r="B13" s="15">
        <f>IFERROR(__xludf.DUMMYFUNCTION("""COMPUTED_VALUE"""),2021.0)</f>
        <v>2021</v>
      </c>
      <c r="C13" s="16">
        <f>IFERROR(__xludf.DUMMYFUNCTION("""COMPUTED_VALUE"""),380497.0)</f>
        <v>380497</v>
      </c>
      <c r="D13" s="16">
        <f>IFERROR(__xludf.DUMMYFUNCTION("""COMPUTED_VALUE"""),169351.0)</f>
        <v>169351</v>
      </c>
      <c r="E13" s="16">
        <f>IFERROR(__xludf.DUMMYFUNCTION("""COMPUTED_VALUE"""),386374.0)</f>
        <v>386374</v>
      </c>
      <c r="F13" s="17">
        <v>936222.0</v>
      </c>
      <c r="G13" s="14"/>
      <c r="H13" s="15">
        <f>IFERROR(__xludf.DUMMYFUNCTION("""COMPUTED_VALUE"""),2021.0)</f>
        <v>2021</v>
      </c>
      <c r="I13" s="16"/>
      <c r="J13" s="16">
        <f>IFERROR(__xludf.DUMMYFUNCTION("""COMPUTED_VALUE"""),198141.0)</f>
        <v>198141</v>
      </c>
      <c r="K13" s="16">
        <f>IFERROR(__xludf.DUMMYFUNCTION("""COMPUTED_VALUE"""),630.0)</f>
        <v>630</v>
      </c>
      <c r="L13" s="16">
        <f>IFERROR(__xludf.DUMMYFUNCTION("""COMPUTED_VALUE"""),181726.0)</f>
        <v>181726</v>
      </c>
      <c r="M13" s="16">
        <f>IFERROR(__xludf.DUMMYFUNCTION("""COMPUTED_VALUE"""),143664.0)</f>
        <v>143664</v>
      </c>
      <c r="N13" s="16">
        <f>IFERROR(__xludf.DUMMYFUNCTION("""COMPUTED_VALUE"""),310.0)</f>
        <v>310</v>
      </c>
      <c r="O13" s="16">
        <f>IFERROR(__xludf.DUMMYFUNCTION("""COMPUTED_VALUE"""),25377.0)</f>
        <v>25377</v>
      </c>
      <c r="P13" s="16"/>
      <c r="Q13" s="16">
        <f>IFERROR(__xludf.DUMMYFUNCTION("""COMPUTED_VALUE"""),168379.0)</f>
        <v>168379</v>
      </c>
      <c r="R13" s="16">
        <f>IFERROR(__xludf.DUMMYFUNCTION("""COMPUTED_VALUE"""),24040.0)</f>
        <v>24040</v>
      </c>
      <c r="S13" s="16">
        <f>IFERROR(__xludf.DUMMYFUNCTION("""COMPUTED_VALUE"""),193955.0)</f>
        <v>193955</v>
      </c>
      <c r="T13" s="17">
        <v>936222.0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>
      <c r="A14" s="14"/>
      <c r="B14" s="15">
        <f>IFERROR(__xludf.DUMMYFUNCTION("""COMPUTED_VALUE"""),2022.0)</f>
        <v>2022</v>
      </c>
      <c r="C14" s="16">
        <f>IFERROR(__xludf.DUMMYFUNCTION("""COMPUTED_VALUE"""),524445.0)</f>
        <v>524445</v>
      </c>
      <c r="D14" s="16">
        <f>IFERROR(__xludf.DUMMYFUNCTION("""COMPUTED_VALUE"""),233964.0)</f>
        <v>233964</v>
      </c>
      <c r="E14" s="16">
        <f>IFERROR(__xludf.DUMMYFUNCTION("""COMPUTED_VALUE"""),555442.0)</f>
        <v>555442</v>
      </c>
      <c r="F14" s="17">
        <v>1313851.0</v>
      </c>
      <c r="G14" s="14"/>
      <c r="H14" s="15">
        <f>IFERROR(__xludf.DUMMYFUNCTION("""COMPUTED_VALUE"""),2022.0)</f>
        <v>2022</v>
      </c>
      <c r="I14" s="16"/>
      <c r="J14" s="16">
        <f>IFERROR(__xludf.DUMMYFUNCTION("""COMPUTED_VALUE"""),165709.0)</f>
        <v>165709</v>
      </c>
      <c r="K14" s="16">
        <f>IFERROR(__xludf.DUMMYFUNCTION("""COMPUTED_VALUE"""),255.0)</f>
        <v>255</v>
      </c>
      <c r="L14" s="16">
        <f>IFERROR(__xludf.DUMMYFUNCTION("""COMPUTED_VALUE"""),358481.0)</f>
        <v>358481</v>
      </c>
      <c r="M14" s="16">
        <f>IFERROR(__xludf.DUMMYFUNCTION("""COMPUTED_VALUE"""),92356.0)</f>
        <v>92356</v>
      </c>
      <c r="N14" s="16">
        <f>IFERROR(__xludf.DUMMYFUNCTION("""COMPUTED_VALUE"""),2911.0)</f>
        <v>2911</v>
      </c>
      <c r="O14" s="16">
        <f>IFERROR(__xludf.DUMMYFUNCTION("""COMPUTED_VALUE"""),138697.0)</f>
        <v>138697</v>
      </c>
      <c r="P14" s="16"/>
      <c r="Q14" s="16">
        <f>IFERROR(__xludf.DUMMYFUNCTION("""COMPUTED_VALUE"""),224084.0)</f>
        <v>224084</v>
      </c>
      <c r="R14" s="16">
        <f>IFERROR(__xludf.DUMMYFUNCTION("""COMPUTED_VALUE"""),63539.0)</f>
        <v>63539</v>
      </c>
      <c r="S14" s="16">
        <f>IFERROR(__xludf.DUMMYFUNCTION("""COMPUTED_VALUE"""),267819.0)</f>
        <v>267819</v>
      </c>
      <c r="T14" s="17">
        <v>1313851.0</v>
      </c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>
      <c r="A15" s="14"/>
      <c r="B15" s="15">
        <f>IFERROR(__xludf.DUMMYFUNCTION("""COMPUTED_VALUE"""),2023.0)</f>
        <v>2023</v>
      </c>
      <c r="C15" s="16">
        <f>IFERROR(__xludf.DUMMYFUNCTION("""COMPUTED_VALUE"""),743549.0)</f>
        <v>743549</v>
      </c>
      <c r="D15" s="16">
        <f>IFERROR(__xludf.DUMMYFUNCTION("""COMPUTED_VALUE"""),365171.0)</f>
        <v>365171</v>
      </c>
      <c r="E15" s="16">
        <f>IFERROR(__xludf.DUMMYFUNCTION("""COMPUTED_VALUE"""),699861.0)</f>
        <v>699861</v>
      </c>
      <c r="F15" s="17">
        <v>1808581.0</v>
      </c>
      <c r="G15" s="14"/>
      <c r="H15" s="15">
        <f>IFERROR(__xludf.DUMMYFUNCTION("""COMPUTED_VALUE"""),2023.0)</f>
        <v>2023</v>
      </c>
      <c r="I15" s="16"/>
      <c r="J15" s="16">
        <f>IFERROR(__xludf.DUMMYFUNCTION("""COMPUTED_VALUE"""),181707.0)</f>
        <v>181707</v>
      </c>
      <c r="K15" s="16">
        <f>IFERROR(__xludf.DUMMYFUNCTION("""COMPUTED_VALUE"""),12219.0)</f>
        <v>12219</v>
      </c>
      <c r="L15" s="16">
        <f>IFERROR(__xludf.DUMMYFUNCTION("""COMPUTED_VALUE"""),549623.0)</f>
        <v>549623</v>
      </c>
      <c r="M15" s="16">
        <f>IFERROR(__xludf.DUMMYFUNCTION("""COMPUTED_VALUE"""),100932.0)</f>
        <v>100932</v>
      </c>
      <c r="N15" s="16">
        <f>IFERROR(__xludf.DUMMYFUNCTION("""COMPUTED_VALUE"""),9054.0)</f>
        <v>9054</v>
      </c>
      <c r="O15" s="16">
        <f>IFERROR(__xludf.DUMMYFUNCTION("""COMPUTED_VALUE"""),255185.0)</f>
        <v>255185</v>
      </c>
      <c r="P15" s="16">
        <f>IFERROR(__xludf.DUMMYFUNCTION("""COMPUTED_VALUE"""),124.0)</f>
        <v>124</v>
      </c>
      <c r="Q15" s="16">
        <f>IFERROR(__xludf.DUMMYFUNCTION("""COMPUTED_VALUE"""),237725.0)</f>
        <v>237725</v>
      </c>
      <c r="R15" s="16">
        <f>IFERROR(__xludf.DUMMYFUNCTION("""COMPUTED_VALUE"""),47477.0)</f>
        <v>47477</v>
      </c>
      <c r="S15" s="16">
        <f>IFERROR(__xludf.DUMMYFUNCTION("""COMPUTED_VALUE"""),414535.0)</f>
        <v>414535</v>
      </c>
      <c r="T15" s="17">
        <v>1808581.0</v>
      </c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>
      <c r="A16" s="19"/>
      <c r="B16" s="20">
        <f>IFERROR(__xludf.DUMMYFUNCTION("""COMPUTED_VALUE"""),2024.0)</f>
        <v>2024</v>
      </c>
      <c r="C16" s="16">
        <f>IFERROR(__xludf.DUMMYFUNCTION("""COMPUTED_VALUE"""),797667.0)</f>
        <v>797667</v>
      </c>
      <c r="D16" s="16">
        <f>IFERROR(__xludf.DUMMYFUNCTION("""COMPUTED_VALUE"""),325989.0)</f>
        <v>325989</v>
      </c>
      <c r="E16" s="16">
        <f>IFERROR(__xludf.DUMMYFUNCTION("""COMPUTED_VALUE"""),665570.0)</f>
        <v>665570</v>
      </c>
      <c r="F16" s="17">
        <v>1789226.0</v>
      </c>
      <c r="G16" s="19"/>
      <c r="H16" s="20">
        <f>IFERROR(__xludf.DUMMYFUNCTION("""COMPUTED_VALUE"""),2024.0)</f>
        <v>2024</v>
      </c>
      <c r="I16" s="16"/>
      <c r="J16" s="16">
        <f>IFERROR(__xludf.DUMMYFUNCTION("""COMPUTED_VALUE"""),233293.0)</f>
        <v>233293</v>
      </c>
      <c r="K16" s="16">
        <f>IFERROR(__xludf.DUMMYFUNCTION("""COMPUTED_VALUE"""),4607.0)</f>
        <v>4607</v>
      </c>
      <c r="L16" s="16">
        <f>IFERROR(__xludf.DUMMYFUNCTION("""COMPUTED_VALUE"""),559767.0)</f>
        <v>559767</v>
      </c>
      <c r="M16" s="16">
        <f>IFERROR(__xludf.DUMMYFUNCTION("""COMPUTED_VALUE"""),105238.0)</f>
        <v>105238</v>
      </c>
      <c r="N16" s="16">
        <f>IFERROR(__xludf.DUMMYFUNCTION("""COMPUTED_VALUE"""),3371.0)</f>
        <v>3371</v>
      </c>
      <c r="O16" s="16">
        <f>IFERROR(__xludf.DUMMYFUNCTION("""COMPUTED_VALUE"""),217380.0)</f>
        <v>217380</v>
      </c>
      <c r="P16" s="16">
        <f>IFERROR(__xludf.DUMMYFUNCTION("""COMPUTED_VALUE"""),40740.0)</f>
        <v>40740</v>
      </c>
      <c r="Q16" s="16">
        <f>IFERROR(__xludf.DUMMYFUNCTION("""COMPUTED_VALUE"""),186215.0)</f>
        <v>186215</v>
      </c>
      <c r="R16" s="16">
        <f>IFERROR(__xludf.DUMMYFUNCTION("""COMPUTED_VALUE"""),36415.0)</f>
        <v>36415</v>
      </c>
      <c r="S16" s="16">
        <f>IFERROR(__xludf.DUMMYFUNCTION("""COMPUTED_VALUE"""),402200.0)</f>
        <v>402200</v>
      </c>
      <c r="T16" s="17">
        <v>1789226.0</v>
      </c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>
      <c r="A17" s="19"/>
      <c r="B17" s="20">
        <f>IFERROR(__xludf.DUMMYFUNCTION("""COMPUTED_VALUE"""),2025.0)</f>
        <v>2025</v>
      </c>
      <c r="C17" s="16">
        <f>IFERROR(__xludf.DUMMYFUNCTION("""COMPUTED_VALUE"""),811790.0)</f>
        <v>811790</v>
      </c>
      <c r="D17" s="16">
        <f>IFERROR(__xludf.DUMMYFUNCTION("""COMPUTED_VALUE"""),238282.0)</f>
        <v>238282</v>
      </c>
      <c r="E17" s="16">
        <f>IFERROR(__xludf.DUMMYFUNCTION("""COMPUTED_VALUE"""),586057.0)</f>
        <v>586057</v>
      </c>
      <c r="F17" s="17">
        <v>1636129.0</v>
      </c>
      <c r="G17" s="19"/>
      <c r="H17" s="20">
        <f>IFERROR(__xludf.DUMMYFUNCTION("""COMPUTED_VALUE"""),2025.0)</f>
        <v>2025</v>
      </c>
      <c r="I17" s="16">
        <f>IFERROR(__xludf.DUMMYFUNCTION("""COMPUTED_VALUE"""),356.0)</f>
        <v>356</v>
      </c>
      <c r="J17" s="16">
        <f>IFERROR(__xludf.DUMMYFUNCTION("""COMPUTED_VALUE"""),237432.0)</f>
        <v>237432</v>
      </c>
      <c r="K17" s="16">
        <f>IFERROR(__xludf.DUMMYFUNCTION("""COMPUTED_VALUE"""),1766.0)</f>
        <v>1766</v>
      </c>
      <c r="L17" s="16">
        <f>IFERROR(__xludf.DUMMYFUNCTION("""COMPUTED_VALUE"""),572236.0)</f>
        <v>572236</v>
      </c>
      <c r="M17" s="16">
        <f>IFERROR(__xludf.DUMMYFUNCTION("""COMPUTED_VALUE"""),83675.0)</f>
        <v>83675</v>
      </c>
      <c r="N17" s="16">
        <f>IFERROR(__xludf.DUMMYFUNCTION("""COMPUTED_VALUE"""),1070.0)</f>
        <v>1070</v>
      </c>
      <c r="O17" s="16">
        <f>IFERROR(__xludf.DUMMYFUNCTION("""COMPUTED_VALUE"""),153537.0)</f>
        <v>153537</v>
      </c>
      <c r="P17" s="16">
        <f>IFERROR(__xludf.DUMMYFUNCTION("""COMPUTED_VALUE"""),20465.0)</f>
        <v>20465</v>
      </c>
      <c r="Q17" s="16">
        <f>IFERROR(__xludf.DUMMYFUNCTION("""COMPUTED_VALUE"""),168261.0)</f>
        <v>168261</v>
      </c>
      <c r="R17" s="16">
        <f>IFERROR(__xludf.DUMMYFUNCTION("""COMPUTED_VALUE"""),27193.0)</f>
        <v>27193</v>
      </c>
      <c r="S17" s="16">
        <f>IFERROR(__xludf.DUMMYFUNCTION("""COMPUTED_VALUE"""),370138.0)</f>
        <v>370138</v>
      </c>
      <c r="T17" s="17">
        <v>1636129.0</v>
      </c>
      <c r="U17" s="19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>
      <c r="A18" s="19"/>
      <c r="B18" s="22" t="str">
        <f>IFERROR(__xludf.DUMMYFUNCTION("""COMPUTED_VALUE"""),"Total")</f>
        <v>Total</v>
      </c>
      <c r="C18" s="17">
        <f>IFERROR(__xludf.DUMMYFUNCTION("""COMPUTED_VALUE"""),3549278.0)</f>
        <v>3549278</v>
      </c>
      <c r="D18" s="17">
        <f>IFERROR(__xludf.DUMMYFUNCTION("""COMPUTED_VALUE"""),1646943.0)</f>
        <v>1646943</v>
      </c>
      <c r="E18" s="17">
        <f>IFERROR(__xludf.DUMMYFUNCTION("""COMPUTED_VALUE"""),3687503.0)</f>
        <v>3687503</v>
      </c>
      <c r="F18" s="17">
        <v>8883724.0</v>
      </c>
      <c r="G18" s="19"/>
      <c r="H18" s="22" t="str">
        <f>IFERROR(__xludf.DUMMYFUNCTION("""COMPUTED_VALUE"""),"Total")</f>
        <v>Total</v>
      </c>
      <c r="I18" s="17">
        <f>IFERROR(__xludf.DUMMYFUNCTION("""COMPUTED_VALUE"""),356.0)</f>
        <v>356</v>
      </c>
      <c r="J18" s="17">
        <f>IFERROR(__xludf.DUMMYFUNCTION("""COMPUTED_VALUE"""),1218426.0)</f>
        <v>1218426</v>
      </c>
      <c r="K18" s="17">
        <f>IFERROR(__xludf.DUMMYFUNCTION("""COMPUTED_VALUE"""),108663.0)</f>
        <v>108663</v>
      </c>
      <c r="L18" s="17">
        <f>IFERROR(__xludf.DUMMYFUNCTION("""COMPUTED_VALUE"""),2221833.0)</f>
        <v>2221833</v>
      </c>
      <c r="M18" s="17">
        <f>IFERROR(__xludf.DUMMYFUNCTION("""COMPUTED_VALUE"""),709725.0)</f>
        <v>709725</v>
      </c>
      <c r="N18" s="17">
        <f>IFERROR(__xludf.DUMMYFUNCTION("""COMPUTED_VALUE"""),147042.0)</f>
        <v>147042</v>
      </c>
      <c r="O18" s="17">
        <f>IFERROR(__xludf.DUMMYFUNCTION("""COMPUTED_VALUE"""),790176.0)</f>
        <v>790176</v>
      </c>
      <c r="P18" s="17">
        <f>IFERROR(__xludf.DUMMYFUNCTION("""COMPUTED_VALUE"""),61329.0)</f>
        <v>61329</v>
      </c>
      <c r="Q18" s="17">
        <f>IFERROR(__xludf.DUMMYFUNCTION("""COMPUTED_VALUE"""),1403614.0)</f>
        <v>1403614</v>
      </c>
      <c r="R18" s="17">
        <f>IFERROR(__xludf.DUMMYFUNCTION("""COMPUTED_VALUE"""),487601.0)</f>
        <v>487601</v>
      </c>
      <c r="S18" s="17">
        <f>IFERROR(__xludf.DUMMYFUNCTION("""COMPUTED_VALUE"""),1734959.0)</f>
        <v>1734959</v>
      </c>
      <c r="T18" s="17">
        <v>8883724.0</v>
      </c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>
      <c r="A19" s="14"/>
      <c r="B19" s="14"/>
      <c r="C19" s="14"/>
      <c r="D19" s="14"/>
      <c r="E19" s="14"/>
      <c r="F19" s="14"/>
      <c r="G19" s="14"/>
      <c r="H19" s="14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>
      <c r="A20" s="14"/>
      <c r="B20" s="14"/>
      <c r="C20" s="14"/>
      <c r="D20" s="14"/>
      <c r="E20" s="10"/>
      <c r="F20" s="14"/>
      <c r="G20" s="14"/>
      <c r="H20" s="14"/>
      <c r="I20" s="14"/>
      <c r="J20" s="14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>
      <c r="A21" s="14"/>
      <c r="B21" s="14"/>
      <c r="C21" s="14"/>
      <c r="D21" s="14"/>
      <c r="E21" s="14"/>
      <c r="F21" s="14"/>
      <c r="G21" s="14"/>
      <c r="H21" s="14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>
      <c r="A22" s="1"/>
      <c r="B22" s="1"/>
      <c r="C22" s="1"/>
      <c r="D22" s="1"/>
      <c r="E22" s="1"/>
      <c r="F22" s="1"/>
      <c r="G22" s="1"/>
      <c r="H22" s="2"/>
      <c r="I22" s="3" t="str">
        <f>IFERROR(__xludf.DUMMYFUNCTION("transpose(split(I24,"",""))"),"APAC")</f>
        <v>APAC</v>
      </c>
      <c r="J22" s="3" t="str">
        <f>IFERROR(__xludf.DUMMYFUNCTION("transpose(split(J24,"",""))"),"APAC")</f>
        <v>APAC</v>
      </c>
      <c r="K22" s="3" t="str">
        <f>IFERROR(__xludf.DUMMYFUNCTION("transpose(split(K24,"",""))"),"APAC")</f>
        <v>APAC</v>
      </c>
      <c r="L22" s="3" t="str">
        <f>IFERROR(__xludf.DUMMYFUNCTION("transpose(split(L24,"",""))"),"APAC")</f>
        <v>APAC</v>
      </c>
      <c r="M22" s="3" t="str">
        <f>IFERROR(__xludf.DUMMYFUNCTION("transpose(split(M24,"",""))"),"Europe")</f>
        <v>Europe</v>
      </c>
      <c r="N22" s="3" t="str">
        <f>IFERROR(__xludf.DUMMYFUNCTION("transpose(split(N24,"",""))"),"Europe")</f>
        <v>Europe</v>
      </c>
      <c r="O22" s="3" t="str">
        <f>IFERROR(__xludf.DUMMYFUNCTION("transpose(split(O24,"",""))"),"Europe")</f>
        <v>Europe</v>
      </c>
      <c r="P22" s="3" t="str">
        <f>IFERROR(__xludf.DUMMYFUNCTION("transpose(split(P24,"",""))"),"North America")</f>
        <v>North America</v>
      </c>
      <c r="Q22" s="3" t="str">
        <f>IFERROR(__xludf.DUMMYFUNCTION("transpose(split(Q24,"",""))"),"North America")</f>
        <v>North America</v>
      </c>
      <c r="R22" s="3" t="str">
        <f>IFERROR(__xludf.DUMMYFUNCTION("transpose(split(R24,"",""))"),"North America")</f>
        <v>North America</v>
      </c>
      <c r="S22" s="3" t="str">
        <f>IFERROR(__xludf.DUMMYFUNCTION("transpose(split(S24,"",""))"),"North America")</f>
        <v>North America</v>
      </c>
      <c r="T22" s="6" t="s">
        <v>1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28"/>
      <c r="B23" s="29" t="s">
        <v>0</v>
      </c>
      <c r="C23" s="26" t="str">
        <f t="shared" ref="C23:E23" si="2">C24</f>
        <v>APAC</v>
      </c>
      <c r="D23" s="26" t="str">
        <f t="shared" si="2"/>
        <v>Europe</v>
      </c>
      <c r="E23" s="26" t="str">
        <f t="shared" si="2"/>
        <v>North America</v>
      </c>
      <c r="F23" s="30" t="str">
        <f t="array" ref="F23:F79">{"All models";"";if($B25:$B79="",,mmult(n($C$25:$E$79),transpose(sign(column($C$25:$E$79)))))}</f>
        <v>All models</v>
      </c>
      <c r="G23" s="28"/>
      <c r="H23" s="31" t="s">
        <v>0</v>
      </c>
      <c r="I23" s="32" t="str">
        <f>IFERROR(__xludf.DUMMYFUNCTION("""COMPUTED_VALUE"""),"Cybertruck")</f>
        <v>Cybertruck</v>
      </c>
      <c r="J23" s="32" t="str">
        <f>IFERROR(__xludf.DUMMYFUNCTION("""COMPUTED_VALUE"""),"Model 3")</f>
        <v>Model 3</v>
      </c>
      <c r="K23" s="32" t="str">
        <f>IFERROR(__xludf.DUMMYFUNCTION("""COMPUTED_VALUE"""),"Model S/X")</f>
        <v>Model S/X</v>
      </c>
      <c r="L23" s="32" t="str">
        <f>IFERROR(__xludf.DUMMYFUNCTION("""COMPUTED_VALUE"""),"Model Y")</f>
        <v>Model Y</v>
      </c>
      <c r="M23" s="32" t="str">
        <f>IFERROR(__xludf.DUMMYFUNCTION("""COMPUTED_VALUE"""),"Model 3")</f>
        <v>Model 3</v>
      </c>
      <c r="N23" s="32" t="str">
        <f>IFERROR(__xludf.DUMMYFUNCTION("""COMPUTED_VALUE"""),"Model S/X")</f>
        <v>Model S/X</v>
      </c>
      <c r="O23" s="32" t="str">
        <f>IFERROR(__xludf.DUMMYFUNCTION("""COMPUTED_VALUE"""),"Model Y")</f>
        <v>Model Y</v>
      </c>
      <c r="P23" s="32" t="str">
        <f>IFERROR(__xludf.DUMMYFUNCTION("""COMPUTED_VALUE"""),"Cybertruck")</f>
        <v>Cybertruck</v>
      </c>
      <c r="Q23" s="32" t="str">
        <f>IFERROR(__xludf.DUMMYFUNCTION("""COMPUTED_VALUE"""),"Model 3")</f>
        <v>Model 3</v>
      </c>
      <c r="R23" s="32" t="str">
        <f>IFERROR(__xludf.DUMMYFUNCTION("""COMPUTED_VALUE"""),"Model S/X")</f>
        <v>Model S/X</v>
      </c>
      <c r="S23" s="32" t="str">
        <f>IFERROR(__xludf.DUMMYFUNCTION("""COMPUTED_VALUE"""),"Model Y")</f>
        <v>Model Y</v>
      </c>
      <c r="T23" s="33" t="str">
        <f t="array" ref="T23:T79">{"All models";"";if($H25:$H79="",,mmult(n($I$25:$S$79),transpose(sign(column($I$25:$S$79)))))}</f>
        <v>All models</v>
      </c>
      <c r="U23" s="34"/>
      <c r="V23" s="34"/>
      <c r="W23" s="35"/>
      <c r="X23" s="35"/>
      <c r="Y23" s="35"/>
      <c r="Z23" s="35"/>
      <c r="AA23" s="35"/>
      <c r="AB23" s="34"/>
      <c r="AC23" s="34"/>
      <c r="AD23" s="34"/>
      <c r="AE23" s="34"/>
      <c r="AF23" s="34"/>
    </row>
    <row r="24" hidden="1">
      <c r="A24" s="11"/>
      <c r="B24" s="12" t="str">
        <f>IFERROR(__xludf.DUMMYFUNCTION("{query({Delivery_Data!$A:$I},""select Col3,sum(Col8) where Col3 is not null and Col8 is not null group by Col3 pivot Col7"",1);index(query({Delivery_Data!$A:$I},""select 'Total',sum(Col8) where Col3 is not null and Col8 is not null pivot Col7"",1),2,0)}"),"Quarter")</f>
        <v>Quarter</v>
      </c>
      <c r="C24" s="13" t="str">
        <f>IFERROR(__xludf.DUMMYFUNCTION("""COMPUTED_VALUE"""),"APAC")</f>
        <v>APAC</v>
      </c>
      <c r="D24" s="13" t="str">
        <f>IFERROR(__xludf.DUMMYFUNCTION("""COMPUTED_VALUE"""),"Europe")</f>
        <v>Europe</v>
      </c>
      <c r="E24" s="13" t="str">
        <f>IFERROR(__xludf.DUMMYFUNCTION("""COMPUTED_VALUE"""),"North America")</f>
        <v>North America</v>
      </c>
      <c r="F24" s="13" t="s">
        <v>16</v>
      </c>
      <c r="G24" s="11"/>
      <c r="H24" s="12" t="str">
        <f>IFERROR(__xludf.DUMMYFUNCTION("{query({Delivery_Data!$A:$I},""select Col3,sum(Col8) where Col3 is not null and Col8 is not null group by Col3 pivot Col7,Col4"",1);index(query({Delivery_Data!$A:$I},""select 'Total',sum(Col8) where Col3 is not null and Col8 is not null pivot Col7,Col4"","&amp;"1),2,0)}"),"Quarter")</f>
        <v>Quarter</v>
      </c>
      <c r="I24" s="13" t="str">
        <f>IFERROR(__xludf.DUMMYFUNCTION("""COMPUTED_VALUE"""),"APAC,Cybertruck")</f>
        <v>APAC,Cybertruck</v>
      </c>
      <c r="J24" s="13" t="str">
        <f>IFERROR(__xludf.DUMMYFUNCTION("""COMPUTED_VALUE"""),"APAC,Model 3")</f>
        <v>APAC,Model 3</v>
      </c>
      <c r="K24" s="13" t="str">
        <f>IFERROR(__xludf.DUMMYFUNCTION("""COMPUTED_VALUE"""),"APAC,Model S/X")</f>
        <v>APAC,Model S/X</v>
      </c>
      <c r="L24" s="13" t="str">
        <f>IFERROR(__xludf.DUMMYFUNCTION("""COMPUTED_VALUE"""),"APAC,Model Y")</f>
        <v>APAC,Model Y</v>
      </c>
      <c r="M24" s="13" t="str">
        <f>IFERROR(__xludf.DUMMYFUNCTION("""COMPUTED_VALUE"""),"Europe,Model 3")</f>
        <v>Europe,Model 3</v>
      </c>
      <c r="N24" s="13" t="str">
        <f>IFERROR(__xludf.DUMMYFUNCTION("""COMPUTED_VALUE"""),"Europe,Model S/X")</f>
        <v>Europe,Model S/X</v>
      </c>
      <c r="O24" s="13" t="str">
        <f>IFERROR(__xludf.DUMMYFUNCTION("""COMPUTED_VALUE"""),"Europe,Model Y")</f>
        <v>Europe,Model Y</v>
      </c>
      <c r="P24" s="13" t="str">
        <f>IFERROR(__xludf.DUMMYFUNCTION("""COMPUTED_VALUE"""),"North America,Cybertruck")</f>
        <v>North America,Cybertruck</v>
      </c>
      <c r="Q24" s="13" t="str">
        <f>IFERROR(__xludf.DUMMYFUNCTION("""COMPUTED_VALUE"""),"North America,Model 3")</f>
        <v>North America,Model 3</v>
      </c>
      <c r="R24" s="13" t="str">
        <f>IFERROR(__xludf.DUMMYFUNCTION("""COMPUTED_VALUE"""),"North America,Model S/X")</f>
        <v>North America,Model S/X</v>
      </c>
      <c r="S24" s="13" t="str">
        <f>IFERROR(__xludf.DUMMYFUNCTION("""COMPUTED_VALUE"""),"North America,Model Y")</f>
        <v>North America,Model Y</v>
      </c>
      <c r="T24" s="13" t="s">
        <v>16</v>
      </c>
      <c r="U24" s="4"/>
      <c r="V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14"/>
      <c r="B25" s="15" t="str">
        <f>IFERROR(__xludf.DUMMYFUNCTION("""COMPUTED_VALUE"""),"2012 Q3")</f>
        <v>2012 Q3</v>
      </c>
      <c r="C25" s="16"/>
      <c r="D25" s="16"/>
      <c r="E25" s="16">
        <f>IFERROR(__xludf.DUMMYFUNCTION("""COMPUTED_VALUE"""),253.0)</f>
        <v>253</v>
      </c>
      <c r="F25" s="17">
        <v>253.0</v>
      </c>
      <c r="G25" s="14"/>
      <c r="H25" s="15" t="str">
        <f>IFERROR(__xludf.DUMMYFUNCTION("""COMPUTED_VALUE"""),"2012 Q3")</f>
        <v>2012 Q3</v>
      </c>
      <c r="I25" s="16"/>
      <c r="J25" s="16"/>
      <c r="K25" s="16"/>
      <c r="L25" s="16"/>
      <c r="M25" s="16"/>
      <c r="N25" s="16"/>
      <c r="O25" s="16"/>
      <c r="P25" s="16"/>
      <c r="Q25" s="16"/>
      <c r="R25" s="16">
        <f>IFERROR(__xludf.DUMMYFUNCTION("""COMPUTED_VALUE"""),253.0)</f>
        <v>253</v>
      </c>
      <c r="S25" s="16"/>
      <c r="T25" s="17">
        <v>253.0</v>
      </c>
      <c r="U25" s="10"/>
      <c r="V25" s="36"/>
      <c r="AB25" s="10"/>
      <c r="AC25" s="10"/>
      <c r="AD25" s="10"/>
      <c r="AE25" s="10"/>
      <c r="AF25" s="10"/>
    </row>
    <row r="26">
      <c r="A26" s="14"/>
      <c r="B26" s="15" t="str">
        <f>IFERROR(__xludf.DUMMYFUNCTION("""COMPUTED_VALUE"""),"2012 Q4")</f>
        <v>2012 Q4</v>
      </c>
      <c r="C26" s="16"/>
      <c r="D26" s="16"/>
      <c r="E26" s="16">
        <f>IFERROR(__xludf.DUMMYFUNCTION("""COMPUTED_VALUE"""),2397.0)</f>
        <v>2397</v>
      </c>
      <c r="F26" s="17">
        <v>2397.0</v>
      </c>
      <c r="G26" s="14"/>
      <c r="H26" s="15" t="str">
        <f>IFERROR(__xludf.DUMMYFUNCTION("""COMPUTED_VALUE"""),"2012 Q4")</f>
        <v>2012 Q4</v>
      </c>
      <c r="I26" s="16"/>
      <c r="J26" s="16"/>
      <c r="K26" s="16"/>
      <c r="L26" s="16"/>
      <c r="M26" s="16"/>
      <c r="N26" s="16"/>
      <c r="O26" s="16"/>
      <c r="P26" s="16"/>
      <c r="Q26" s="16"/>
      <c r="R26" s="16">
        <f>IFERROR(__xludf.DUMMYFUNCTION("""COMPUTED_VALUE"""),2397.0)</f>
        <v>2397</v>
      </c>
      <c r="S26" s="16"/>
      <c r="T26" s="17">
        <v>2397.0</v>
      </c>
      <c r="U26" s="10"/>
      <c r="V26" s="10"/>
      <c r="AB26" s="10"/>
      <c r="AC26" s="10"/>
      <c r="AD26" s="10"/>
      <c r="AE26" s="10"/>
      <c r="AF26" s="10"/>
    </row>
    <row r="27">
      <c r="A27" s="14"/>
      <c r="B27" s="15" t="str">
        <f>IFERROR(__xludf.DUMMYFUNCTION("""COMPUTED_VALUE"""),"2013 Q1")</f>
        <v>2013 Q1</v>
      </c>
      <c r="C27" s="16"/>
      <c r="D27" s="16"/>
      <c r="E27" s="16">
        <f>IFERROR(__xludf.DUMMYFUNCTION("""COMPUTED_VALUE"""),4911.0)</f>
        <v>4911</v>
      </c>
      <c r="F27" s="17">
        <v>4911.0</v>
      </c>
      <c r="G27" s="14"/>
      <c r="H27" s="15" t="str">
        <f>IFERROR(__xludf.DUMMYFUNCTION("""COMPUTED_VALUE"""),"2013 Q1")</f>
        <v>2013 Q1</v>
      </c>
      <c r="I27" s="16"/>
      <c r="J27" s="16"/>
      <c r="K27" s="16"/>
      <c r="L27" s="16"/>
      <c r="M27" s="16"/>
      <c r="N27" s="16"/>
      <c r="O27" s="16"/>
      <c r="P27" s="16"/>
      <c r="Q27" s="16"/>
      <c r="R27" s="16">
        <f>IFERROR(__xludf.DUMMYFUNCTION("""COMPUTED_VALUE"""),4911.0)</f>
        <v>4911</v>
      </c>
      <c r="S27" s="16"/>
      <c r="T27" s="17">
        <v>4911.0</v>
      </c>
      <c r="U27" s="10"/>
      <c r="V27" s="10"/>
      <c r="AB27" s="10"/>
      <c r="AC27" s="10"/>
      <c r="AD27" s="10"/>
      <c r="AE27" s="10"/>
      <c r="AF27" s="10"/>
    </row>
    <row r="28">
      <c r="A28" s="14"/>
      <c r="B28" s="15" t="str">
        <f>IFERROR(__xludf.DUMMYFUNCTION("""COMPUTED_VALUE"""),"2013 Q2")</f>
        <v>2013 Q2</v>
      </c>
      <c r="C28" s="16"/>
      <c r="D28" s="16"/>
      <c r="E28" s="16">
        <f>IFERROR(__xludf.DUMMYFUNCTION("""COMPUTED_VALUE"""),5162.0)</f>
        <v>5162</v>
      </c>
      <c r="F28" s="17">
        <v>5162.0</v>
      </c>
      <c r="G28" s="14"/>
      <c r="H28" s="15" t="str">
        <f>IFERROR(__xludf.DUMMYFUNCTION("""COMPUTED_VALUE"""),"2013 Q2")</f>
        <v>2013 Q2</v>
      </c>
      <c r="I28" s="16"/>
      <c r="J28" s="16"/>
      <c r="K28" s="16"/>
      <c r="L28" s="16"/>
      <c r="M28" s="16"/>
      <c r="N28" s="16"/>
      <c r="O28" s="16"/>
      <c r="P28" s="16"/>
      <c r="Q28" s="16"/>
      <c r="R28" s="16">
        <f>IFERROR(__xludf.DUMMYFUNCTION("""COMPUTED_VALUE"""),5162.0)</f>
        <v>5162</v>
      </c>
      <c r="S28" s="16"/>
      <c r="T28" s="17">
        <v>5162.0</v>
      </c>
      <c r="U28" s="10"/>
      <c r="V28" s="10"/>
      <c r="AB28" s="10"/>
      <c r="AC28" s="10"/>
      <c r="AD28" s="10"/>
      <c r="AE28" s="10"/>
      <c r="AF28" s="10"/>
    </row>
    <row r="29">
      <c r="A29" s="14"/>
      <c r="B29" s="15" t="str">
        <f>IFERROR(__xludf.DUMMYFUNCTION("""COMPUTED_VALUE"""),"2013 Q3")</f>
        <v>2013 Q3</v>
      </c>
      <c r="C29" s="16"/>
      <c r="D29" s="16">
        <f>IFERROR(__xludf.DUMMYFUNCTION("""COMPUTED_VALUE"""),1224.0)</f>
        <v>1224</v>
      </c>
      <c r="E29" s="16">
        <f>IFERROR(__xludf.DUMMYFUNCTION("""COMPUTED_VALUE"""),4288.0)</f>
        <v>4288</v>
      </c>
      <c r="F29" s="17">
        <v>5512.0</v>
      </c>
      <c r="G29" s="14"/>
      <c r="H29" s="15" t="str">
        <f>IFERROR(__xludf.DUMMYFUNCTION("""COMPUTED_VALUE"""),"2013 Q3")</f>
        <v>2013 Q3</v>
      </c>
      <c r="I29" s="16"/>
      <c r="J29" s="16"/>
      <c r="K29" s="16"/>
      <c r="L29" s="16"/>
      <c r="M29" s="16"/>
      <c r="N29" s="16">
        <f>IFERROR(__xludf.DUMMYFUNCTION("""COMPUTED_VALUE"""),1224.0)</f>
        <v>1224</v>
      </c>
      <c r="O29" s="16"/>
      <c r="P29" s="16"/>
      <c r="Q29" s="16"/>
      <c r="R29" s="16">
        <f>IFERROR(__xludf.DUMMYFUNCTION("""COMPUTED_VALUE"""),4288.0)</f>
        <v>4288</v>
      </c>
      <c r="S29" s="16"/>
      <c r="T29" s="17">
        <v>5512.0</v>
      </c>
      <c r="U29" s="10"/>
      <c r="V29" s="10"/>
      <c r="AB29" s="10"/>
      <c r="AC29" s="10"/>
      <c r="AD29" s="10"/>
      <c r="AE29" s="10"/>
      <c r="AF29" s="10"/>
    </row>
    <row r="30">
      <c r="A30" s="14"/>
      <c r="B30" s="15" t="str">
        <f>IFERROR(__xludf.DUMMYFUNCTION("""COMPUTED_VALUE"""),"2013 Q4")</f>
        <v>2013 Q4</v>
      </c>
      <c r="C30" s="16"/>
      <c r="D30" s="16">
        <f>IFERROR(__xludf.DUMMYFUNCTION("""COMPUTED_VALUE"""),2669.0)</f>
        <v>2669</v>
      </c>
      <c r="E30" s="16">
        <f>IFERROR(__xludf.DUMMYFUNCTION("""COMPUTED_VALUE"""),4223.0)</f>
        <v>4223</v>
      </c>
      <c r="F30" s="17">
        <v>6892.0</v>
      </c>
      <c r="G30" s="14"/>
      <c r="H30" s="15" t="str">
        <f>IFERROR(__xludf.DUMMYFUNCTION("""COMPUTED_VALUE"""),"2013 Q4")</f>
        <v>2013 Q4</v>
      </c>
      <c r="I30" s="16"/>
      <c r="J30" s="16"/>
      <c r="K30" s="16"/>
      <c r="L30" s="16"/>
      <c r="M30" s="16"/>
      <c r="N30" s="16">
        <f>IFERROR(__xludf.DUMMYFUNCTION("""COMPUTED_VALUE"""),2669.0)</f>
        <v>2669</v>
      </c>
      <c r="O30" s="16"/>
      <c r="P30" s="16"/>
      <c r="Q30" s="16"/>
      <c r="R30" s="16">
        <f>IFERROR(__xludf.DUMMYFUNCTION("""COMPUTED_VALUE"""),4223.0)</f>
        <v>4223</v>
      </c>
      <c r="S30" s="16"/>
      <c r="T30" s="17">
        <v>6892.0</v>
      </c>
      <c r="U30" s="10"/>
      <c r="V30" s="10"/>
      <c r="AB30" s="10"/>
      <c r="AC30" s="10"/>
      <c r="AD30" s="10"/>
      <c r="AE30" s="10"/>
      <c r="AF30" s="10"/>
    </row>
    <row r="31">
      <c r="A31" s="14"/>
      <c r="B31" s="15" t="str">
        <f>IFERROR(__xludf.DUMMYFUNCTION("""COMPUTED_VALUE"""),"2014 Q1")</f>
        <v>2014 Q1</v>
      </c>
      <c r="C31" s="16">
        <f>IFERROR(__xludf.DUMMYFUNCTION("""COMPUTED_VALUE"""),3.0)</f>
        <v>3</v>
      </c>
      <c r="D31" s="16">
        <f>IFERROR(__xludf.DUMMYFUNCTION("""COMPUTED_VALUE"""),3073.0)</f>
        <v>3073</v>
      </c>
      <c r="E31" s="16">
        <f>IFERROR(__xludf.DUMMYFUNCTION("""COMPUTED_VALUE"""),3381.0)</f>
        <v>3381</v>
      </c>
      <c r="F31" s="17">
        <v>6457.0</v>
      </c>
      <c r="G31" s="14"/>
      <c r="H31" s="15" t="str">
        <f>IFERROR(__xludf.DUMMYFUNCTION("""COMPUTED_VALUE"""),"2014 Q1")</f>
        <v>2014 Q1</v>
      </c>
      <c r="I31" s="16"/>
      <c r="J31" s="16"/>
      <c r="K31" s="16">
        <f>IFERROR(__xludf.DUMMYFUNCTION("""COMPUTED_VALUE"""),3.0)</f>
        <v>3</v>
      </c>
      <c r="L31" s="16"/>
      <c r="M31" s="16"/>
      <c r="N31" s="16">
        <f>IFERROR(__xludf.DUMMYFUNCTION("""COMPUTED_VALUE"""),3073.0)</f>
        <v>3073</v>
      </c>
      <c r="O31" s="16"/>
      <c r="P31" s="16"/>
      <c r="Q31" s="16"/>
      <c r="R31" s="16">
        <f>IFERROR(__xludf.DUMMYFUNCTION("""COMPUTED_VALUE"""),3381.0)</f>
        <v>3381</v>
      </c>
      <c r="S31" s="16"/>
      <c r="T31" s="17">
        <v>6457.0</v>
      </c>
      <c r="U31" s="10"/>
      <c r="V31" s="10"/>
      <c r="AB31" s="10"/>
      <c r="AC31" s="10"/>
      <c r="AD31" s="10"/>
      <c r="AE31" s="10"/>
      <c r="AF31" s="10"/>
    </row>
    <row r="32">
      <c r="A32" s="14"/>
      <c r="B32" s="15" t="str">
        <f>IFERROR(__xludf.DUMMYFUNCTION("""COMPUTED_VALUE"""),"2014 Q2")</f>
        <v>2014 Q2</v>
      </c>
      <c r="C32" s="16">
        <f>IFERROR(__xludf.DUMMYFUNCTION("""COMPUTED_VALUE"""),1543.0)</f>
        <v>1543</v>
      </c>
      <c r="D32" s="16">
        <f>IFERROR(__xludf.DUMMYFUNCTION("""COMPUTED_VALUE"""),2519.0)</f>
        <v>2519</v>
      </c>
      <c r="E32" s="16">
        <f>IFERROR(__xludf.DUMMYFUNCTION("""COMPUTED_VALUE"""),3517.0)</f>
        <v>3517</v>
      </c>
      <c r="F32" s="17">
        <v>7579.0</v>
      </c>
      <c r="G32" s="14"/>
      <c r="H32" s="15" t="str">
        <f>IFERROR(__xludf.DUMMYFUNCTION("""COMPUTED_VALUE"""),"2014 Q2")</f>
        <v>2014 Q2</v>
      </c>
      <c r="I32" s="16"/>
      <c r="J32" s="16"/>
      <c r="K32" s="16">
        <f>IFERROR(__xludf.DUMMYFUNCTION("""COMPUTED_VALUE"""),1543.0)</f>
        <v>1543</v>
      </c>
      <c r="L32" s="16"/>
      <c r="M32" s="16"/>
      <c r="N32" s="16">
        <f>IFERROR(__xludf.DUMMYFUNCTION("""COMPUTED_VALUE"""),2519.0)</f>
        <v>2519</v>
      </c>
      <c r="O32" s="16"/>
      <c r="P32" s="16"/>
      <c r="Q32" s="16"/>
      <c r="R32" s="16">
        <f>IFERROR(__xludf.DUMMYFUNCTION("""COMPUTED_VALUE"""),3517.0)</f>
        <v>3517</v>
      </c>
      <c r="S32" s="16"/>
      <c r="T32" s="17">
        <v>7579.0</v>
      </c>
      <c r="U32" s="10"/>
      <c r="V32" s="10"/>
      <c r="AB32" s="10"/>
      <c r="AC32" s="10"/>
      <c r="AD32" s="10"/>
      <c r="AE32" s="10"/>
      <c r="AF32" s="10"/>
    </row>
    <row r="33">
      <c r="A33" s="14"/>
      <c r="B33" s="15" t="str">
        <f>IFERROR(__xludf.DUMMYFUNCTION("""COMPUTED_VALUE"""),"2014 Q3")</f>
        <v>2014 Q3</v>
      </c>
      <c r="C33" s="16">
        <f>IFERROR(__xludf.DUMMYFUNCTION("""COMPUTED_VALUE"""),1188.0)</f>
        <v>1188</v>
      </c>
      <c r="D33" s="16">
        <f>IFERROR(__xludf.DUMMYFUNCTION("""COMPUTED_VALUE"""),1653.0)</f>
        <v>1653</v>
      </c>
      <c r="E33" s="16">
        <f>IFERROR(__xludf.DUMMYFUNCTION("""COMPUTED_VALUE"""),4944.0)</f>
        <v>4944</v>
      </c>
      <c r="F33" s="17">
        <v>7785.0</v>
      </c>
      <c r="G33" s="14"/>
      <c r="H33" s="15" t="str">
        <f>IFERROR(__xludf.DUMMYFUNCTION("""COMPUTED_VALUE"""),"2014 Q3")</f>
        <v>2014 Q3</v>
      </c>
      <c r="I33" s="16"/>
      <c r="J33" s="16"/>
      <c r="K33" s="16">
        <f>IFERROR(__xludf.DUMMYFUNCTION("""COMPUTED_VALUE"""),1188.0)</f>
        <v>1188</v>
      </c>
      <c r="L33" s="16"/>
      <c r="M33" s="16"/>
      <c r="N33" s="16">
        <f>IFERROR(__xludf.DUMMYFUNCTION("""COMPUTED_VALUE"""),1653.0)</f>
        <v>1653</v>
      </c>
      <c r="O33" s="16"/>
      <c r="P33" s="16"/>
      <c r="Q33" s="16"/>
      <c r="R33" s="16">
        <f>IFERROR(__xludf.DUMMYFUNCTION("""COMPUTED_VALUE"""),4944.0)</f>
        <v>4944</v>
      </c>
      <c r="S33" s="16"/>
      <c r="T33" s="17">
        <v>7785.0</v>
      </c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>
      <c r="A34" s="14"/>
      <c r="B34" s="15" t="str">
        <f>IFERROR(__xludf.DUMMYFUNCTION("""COMPUTED_VALUE"""),"2014 Q4")</f>
        <v>2014 Q4</v>
      </c>
      <c r="C34" s="16">
        <f>IFERROR(__xludf.DUMMYFUNCTION("""COMPUTED_VALUE"""),1927.0)</f>
        <v>1927</v>
      </c>
      <c r="D34" s="16">
        <f>IFERROR(__xludf.DUMMYFUNCTION("""COMPUTED_VALUE"""),2276.0)</f>
        <v>2276</v>
      </c>
      <c r="E34" s="16">
        <f>IFERROR(__xludf.DUMMYFUNCTION("""COMPUTED_VALUE"""),5631.0)</f>
        <v>5631</v>
      </c>
      <c r="F34" s="17">
        <v>9834.0</v>
      </c>
      <c r="G34" s="14"/>
      <c r="H34" s="15" t="str">
        <f>IFERROR(__xludf.DUMMYFUNCTION("""COMPUTED_VALUE"""),"2014 Q4")</f>
        <v>2014 Q4</v>
      </c>
      <c r="I34" s="16"/>
      <c r="J34" s="16"/>
      <c r="K34" s="16">
        <f>IFERROR(__xludf.DUMMYFUNCTION("""COMPUTED_VALUE"""),1927.0)</f>
        <v>1927</v>
      </c>
      <c r="L34" s="16"/>
      <c r="M34" s="16"/>
      <c r="N34" s="16">
        <f>IFERROR(__xludf.DUMMYFUNCTION("""COMPUTED_VALUE"""),2276.0)</f>
        <v>2276</v>
      </c>
      <c r="O34" s="16"/>
      <c r="P34" s="16"/>
      <c r="Q34" s="16"/>
      <c r="R34" s="16">
        <f>IFERROR(__xludf.DUMMYFUNCTION("""COMPUTED_VALUE"""),5631.0)</f>
        <v>5631</v>
      </c>
      <c r="S34" s="16"/>
      <c r="T34" s="17">
        <v>9834.0</v>
      </c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>
      <c r="A35" s="14"/>
      <c r="B35" s="15" t="str">
        <f>IFERROR(__xludf.DUMMYFUNCTION("""COMPUTED_VALUE"""),"2015 Q1")</f>
        <v>2015 Q1</v>
      </c>
      <c r="C35" s="16">
        <f>IFERROR(__xludf.DUMMYFUNCTION("""COMPUTED_VALUE"""),1665.0)</f>
        <v>1665</v>
      </c>
      <c r="D35" s="16">
        <f>IFERROR(__xludf.DUMMYFUNCTION("""COMPUTED_VALUE"""),3465.0)</f>
        <v>3465</v>
      </c>
      <c r="E35" s="16">
        <f>IFERROR(__xludf.DUMMYFUNCTION("""COMPUTED_VALUE"""),4915.0)</f>
        <v>4915</v>
      </c>
      <c r="F35" s="17">
        <v>10045.0</v>
      </c>
      <c r="G35" s="14"/>
      <c r="H35" s="15" t="str">
        <f>IFERROR(__xludf.DUMMYFUNCTION("""COMPUTED_VALUE"""),"2015 Q1")</f>
        <v>2015 Q1</v>
      </c>
      <c r="I35" s="16"/>
      <c r="J35" s="16"/>
      <c r="K35" s="16">
        <f>IFERROR(__xludf.DUMMYFUNCTION("""COMPUTED_VALUE"""),1665.0)</f>
        <v>1665</v>
      </c>
      <c r="L35" s="16"/>
      <c r="M35" s="16"/>
      <c r="N35" s="16">
        <f>IFERROR(__xludf.DUMMYFUNCTION("""COMPUTED_VALUE"""),3465.0)</f>
        <v>3465</v>
      </c>
      <c r="O35" s="16"/>
      <c r="P35" s="16"/>
      <c r="Q35" s="16"/>
      <c r="R35" s="16">
        <f>IFERROR(__xludf.DUMMYFUNCTION("""COMPUTED_VALUE"""),4915.0)</f>
        <v>4915</v>
      </c>
      <c r="S35" s="16"/>
      <c r="T35" s="17">
        <v>10045.0</v>
      </c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>
      <c r="A36" s="14"/>
      <c r="B36" s="15" t="str">
        <f>IFERROR(__xludf.DUMMYFUNCTION("""COMPUTED_VALUE"""),"2015 Q2")</f>
        <v>2015 Q2</v>
      </c>
      <c r="C36" s="16">
        <f>IFERROR(__xludf.DUMMYFUNCTION("""COMPUTED_VALUE"""),1236.0)</f>
        <v>1236</v>
      </c>
      <c r="D36" s="16">
        <f>IFERROR(__xludf.DUMMYFUNCTION("""COMPUTED_VALUE"""),3891.0)</f>
        <v>3891</v>
      </c>
      <c r="E36" s="16">
        <f>IFERROR(__xludf.DUMMYFUNCTION("""COMPUTED_VALUE"""),6405.0)</f>
        <v>6405</v>
      </c>
      <c r="F36" s="17">
        <v>11532.0</v>
      </c>
      <c r="G36" s="14"/>
      <c r="H36" s="15" t="str">
        <f>IFERROR(__xludf.DUMMYFUNCTION("""COMPUTED_VALUE"""),"2015 Q2")</f>
        <v>2015 Q2</v>
      </c>
      <c r="I36" s="16"/>
      <c r="J36" s="16"/>
      <c r="K36" s="16">
        <f>IFERROR(__xludf.DUMMYFUNCTION("""COMPUTED_VALUE"""),1236.0)</f>
        <v>1236</v>
      </c>
      <c r="L36" s="16"/>
      <c r="M36" s="16"/>
      <c r="N36" s="16">
        <f>IFERROR(__xludf.DUMMYFUNCTION("""COMPUTED_VALUE"""),3891.0)</f>
        <v>3891</v>
      </c>
      <c r="O36" s="16"/>
      <c r="P36" s="16"/>
      <c r="Q36" s="16"/>
      <c r="R36" s="16">
        <f>IFERROR(__xludf.DUMMYFUNCTION("""COMPUTED_VALUE"""),6405.0)</f>
        <v>6405</v>
      </c>
      <c r="S36" s="16"/>
      <c r="T36" s="17">
        <v>11532.0</v>
      </c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>
      <c r="A37" s="14"/>
      <c r="B37" s="15" t="str">
        <f>IFERROR(__xludf.DUMMYFUNCTION("""COMPUTED_VALUE"""),"2015 Q3")</f>
        <v>2015 Q3</v>
      </c>
      <c r="C37" s="16">
        <f>IFERROR(__xludf.DUMMYFUNCTION("""COMPUTED_VALUE"""),1635.0)</f>
        <v>1635</v>
      </c>
      <c r="D37" s="16">
        <f>IFERROR(__xludf.DUMMYFUNCTION("""COMPUTED_VALUE"""),3520.0)</f>
        <v>3520</v>
      </c>
      <c r="E37" s="16">
        <f>IFERROR(__xludf.DUMMYFUNCTION("""COMPUTED_VALUE"""),6448.0)</f>
        <v>6448</v>
      </c>
      <c r="F37" s="17">
        <v>11603.0</v>
      </c>
      <c r="G37" s="14"/>
      <c r="H37" s="15" t="str">
        <f>IFERROR(__xludf.DUMMYFUNCTION("""COMPUTED_VALUE"""),"2015 Q3")</f>
        <v>2015 Q3</v>
      </c>
      <c r="I37" s="16"/>
      <c r="J37" s="16"/>
      <c r="K37" s="16">
        <f>IFERROR(__xludf.DUMMYFUNCTION("""COMPUTED_VALUE"""),1635.0)</f>
        <v>1635</v>
      </c>
      <c r="L37" s="16"/>
      <c r="M37" s="16"/>
      <c r="N37" s="16">
        <f>IFERROR(__xludf.DUMMYFUNCTION("""COMPUTED_VALUE"""),3520.0)</f>
        <v>3520</v>
      </c>
      <c r="O37" s="16"/>
      <c r="P37" s="16"/>
      <c r="Q37" s="16"/>
      <c r="R37" s="16">
        <f>IFERROR(__xludf.DUMMYFUNCTION("""COMPUTED_VALUE"""),6448.0)</f>
        <v>6448</v>
      </c>
      <c r="S37" s="16"/>
      <c r="T37" s="17">
        <v>11603.0</v>
      </c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>
      <c r="A38" s="14"/>
      <c r="B38" s="15" t="str">
        <f>IFERROR(__xludf.DUMMYFUNCTION("""COMPUTED_VALUE"""),"2015 Q4")</f>
        <v>2015 Q4</v>
      </c>
      <c r="C38" s="16">
        <f>IFERROR(__xludf.DUMMYFUNCTION("""COMPUTED_VALUE"""),2619.0)</f>
        <v>2619</v>
      </c>
      <c r="D38" s="16">
        <f>IFERROR(__xludf.DUMMYFUNCTION("""COMPUTED_VALUE"""),5825.0)</f>
        <v>5825</v>
      </c>
      <c r="E38" s="16">
        <f>IFERROR(__xludf.DUMMYFUNCTION("""COMPUTED_VALUE"""),9034.0)</f>
        <v>9034</v>
      </c>
      <c r="F38" s="17">
        <v>17478.0</v>
      </c>
      <c r="G38" s="14"/>
      <c r="H38" s="15" t="str">
        <f>IFERROR(__xludf.DUMMYFUNCTION("""COMPUTED_VALUE"""),"2015 Q4")</f>
        <v>2015 Q4</v>
      </c>
      <c r="I38" s="16"/>
      <c r="J38" s="16"/>
      <c r="K38" s="16">
        <f>IFERROR(__xludf.DUMMYFUNCTION("""COMPUTED_VALUE"""),2619.0)</f>
        <v>2619</v>
      </c>
      <c r="L38" s="16"/>
      <c r="M38" s="16"/>
      <c r="N38" s="16">
        <f>IFERROR(__xludf.DUMMYFUNCTION("""COMPUTED_VALUE"""),5825.0)</f>
        <v>5825</v>
      </c>
      <c r="O38" s="16"/>
      <c r="P38" s="16"/>
      <c r="Q38" s="16"/>
      <c r="R38" s="16">
        <f>IFERROR(__xludf.DUMMYFUNCTION("""COMPUTED_VALUE"""),9034.0)</f>
        <v>9034</v>
      </c>
      <c r="S38" s="16"/>
      <c r="T38" s="17">
        <v>17478.0</v>
      </c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>
      <c r="A39" s="14"/>
      <c r="B39" s="15" t="str">
        <f>IFERROR(__xludf.DUMMYFUNCTION("""COMPUTED_VALUE"""),"2016 Q1")</f>
        <v>2016 Q1</v>
      </c>
      <c r="C39" s="16">
        <f>IFERROR(__xludf.DUMMYFUNCTION("""COMPUTED_VALUE"""),2511.0)</f>
        <v>2511</v>
      </c>
      <c r="D39" s="16">
        <f>IFERROR(__xludf.DUMMYFUNCTION("""COMPUTED_VALUE"""),3849.0)</f>
        <v>3849</v>
      </c>
      <c r="E39" s="16">
        <f>IFERROR(__xludf.DUMMYFUNCTION("""COMPUTED_VALUE"""),8450.0)</f>
        <v>8450</v>
      </c>
      <c r="F39" s="17">
        <v>14810.0</v>
      </c>
      <c r="G39" s="14"/>
      <c r="H39" s="15" t="str">
        <f>IFERROR(__xludf.DUMMYFUNCTION("""COMPUTED_VALUE"""),"2016 Q1")</f>
        <v>2016 Q1</v>
      </c>
      <c r="I39" s="16"/>
      <c r="J39" s="16"/>
      <c r="K39" s="16">
        <f>IFERROR(__xludf.DUMMYFUNCTION("""COMPUTED_VALUE"""),2511.0)</f>
        <v>2511</v>
      </c>
      <c r="L39" s="16"/>
      <c r="M39" s="16"/>
      <c r="N39" s="16">
        <f>IFERROR(__xludf.DUMMYFUNCTION("""COMPUTED_VALUE"""),3849.0)</f>
        <v>3849</v>
      </c>
      <c r="O39" s="16"/>
      <c r="P39" s="16"/>
      <c r="Q39" s="16"/>
      <c r="R39" s="16">
        <f>IFERROR(__xludf.DUMMYFUNCTION("""COMPUTED_VALUE"""),8450.0)</f>
        <v>8450</v>
      </c>
      <c r="S39" s="16"/>
      <c r="T39" s="17">
        <v>14810.0</v>
      </c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>
      <c r="A40" s="14"/>
      <c r="B40" s="15" t="str">
        <f>IFERROR(__xludf.DUMMYFUNCTION("""COMPUTED_VALUE"""),"2016 Q2")</f>
        <v>2016 Q2</v>
      </c>
      <c r="C40" s="16">
        <f>IFERROR(__xludf.DUMMYFUNCTION("""COMPUTED_VALUE"""),1346.0)</f>
        <v>1346</v>
      </c>
      <c r="D40" s="16">
        <f>IFERROR(__xludf.DUMMYFUNCTION("""COMPUTED_VALUE"""),2980.0)</f>
        <v>2980</v>
      </c>
      <c r="E40" s="16">
        <f>IFERROR(__xludf.DUMMYFUNCTION("""COMPUTED_VALUE"""),10076.0)</f>
        <v>10076</v>
      </c>
      <c r="F40" s="17">
        <v>14402.0</v>
      </c>
      <c r="G40" s="14"/>
      <c r="H40" s="15" t="str">
        <f>IFERROR(__xludf.DUMMYFUNCTION("""COMPUTED_VALUE"""),"2016 Q2")</f>
        <v>2016 Q2</v>
      </c>
      <c r="I40" s="16"/>
      <c r="J40" s="16"/>
      <c r="K40" s="16">
        <f>IFERROR(__xludf.DUMMYFUNCTION("""COMPUTED_VALUE"""),1346.0)</f>
        <v>1346</v>
      </c>
      <c r="L40" s="16"/>
      <c r="M40" s="16"/>
      <c r="N40" s="16">
        <f>IFERROR(__xludf.DUMMYFUNCTION("""COMPUTED_VALUE"""),2980.0)</f>
        <v>2980</v>
      </c>
      <c r="O40" s="16"/>
      <c r="P40" s="16"/>
      <c r="Q40" s="16"/>
      <c r="R40" s="16">
        <f>IFERROR(__xludf.DUMMYFUNCTION("""COMPUTED_VALUE"""),10076.0)</f>
        <v>10076</v>
      </c>
      <c r="S40" s="16"/>
      <c r="T40" s="17">
        <v>14402.0</v>
      </c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>
      <c r="A41" s="14"/>
      <c r="B41" s="15" t="str">
        <f>IFERROR(__xludf.DUMMYFUNCTION("""COMPUTED_VALUE"""),"2016 Q3")</f>
        <v>2016 Q3</v>
      </c>
      <c r="C41" s="16">
        <f>IFERROR(__xludf.DUMMYFUNCTION("""COMPUTED_VALUE"""),4589.0)</f>
        <v>4589</v>
      </c>
      <c r="D41" s="16">
        <f>IFERROR(__xludf.DUMMYFUNCTION("""COMPUTED_VALUE"""),5001.0)</f>
        <v>5001</v>
      </c>
      <c r="E41" s="16">
        <f>IFERROR(__xludf.DUMMYFUNCTION("""COMPUTED_VALUE"""),15231.0)</f>
        <v>15231</v>
      </c>
      <c r="F41" s="17">
        <v>24821.0</v>
      </c>
      <c r="G41" s="14"/>
      <c r="H41" s="15" t="str">
        <f>IFERROR(__xludf.DUMMYFUNCTION("""COMPUTED_VALUE"""),"2016 Q3")</f>
        <v>2016 Q3</v>
      </c>
      <c r="I41" s="16"/>
      <c r="J41" s="16"/>
      <c r="K41" s="16">
        <f>IFERROR(__xludf.DUMMYFUNCTION("""COMPUTED_VALUE"""),4589.0)</f>
        <v>4589</v>
      </c>
      <c r="L41" s="16"/>
      <c r="M41" s="16"/>
      <c r="N41" s="16">
        <f>IFERROR(__xludf.DUMMYFUNCTION("""COMPUTED_VALUE"""),5001.0)</f>
        <v>5001</v>
      </c>
      <c r="O41" s="16"/>
      <c r="P41" s="16"/>
      <c r="Q41" s="16"/>
      <c r="R41" s="16">
        <f>IFERROR(__xludf.DUMMYFUNCTION("""COMPUTED_VALUE"""),15231.0)</f>
        <v>15231</v>
      </c>
      <c r="S41" s="16"/>
      <c r="T41" s="17">
        <v>24821.0</v>
      </c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>
      <c r="A42" s="14"/>
      <c r="B42" s="15" t="str">
        <f>IFERROR(__xludf.DUMMYFUNCTION("""COMPUTED_VALUE"""),"2016 Q4")</f>
        <v>2016 Q4</v>
      </c>
      <c r="C42" s="16">
        <f>IFERROR(__xludf.DUMMYFUNCTION("""COMPUTED_VALUE"""),3591.0)</f>
        <v>3591</v>
      </c>
      <c r="D42" s="16">
        <f>IFERROR(__xludf.DUMMYFUNCTION("""COMPUTED_VALUE"""),4400.0)</f>
        <v>4400</v>
      </c>
      <c r="E42" s="16">
        <f>IFERROR(__xludf.DUMMYFUNCTION("""COMPUTED_VALUE"""),14261.0)</f>
        <v>14261</v>
      </c>
      <c r="F42" s="17">
        <v>22252.0</v>
      </c>
      <c r="G42" s="14"/>
      <c r="H42" s="15" t="str">
        <f>IFERROR(__xludf.DUMMYFUNCTION("""COMPUTED_VALUE"""),"2016 Q4")</f>
        <v>2016 Q4</v>
      </c>
      <c r="I42" s="16"/>
      <c r="J42" s="16"/>
      <c r="K42" s="16">
        <f>IFERROR(__xludf.DUMMYFUNCTION("""COMPUTED_VALUE"""),3591.0)</f>
        <v>3591</v>
      </c>
      <c r="L42" s="16"/>
      <c r="M42" s="16"/>
      <c r="N42" s="16">
        <f>IFERROR(__xludf.DUMMYFUNCTION("""COMPUTED_VALUE"""),4400.0)</f>
        <v>4400</v>
      </c>
      <c r="O42" s="16"/>
      <c r="P42" s="16"/>
      <c r="Q42" s="16"/>
      <c r="R42" s="16">
        <f>IFERROR(__xludf.DUMMYFUNCTION("""COMPUTED_VALUE"""),14261.0)</f>
        <v>14261</v>
      </c>
      <c r="S42" s="16"/>
      <c r="T42" s="17">
        <v>22252.0</v>
      </c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>
      <c r="A43" s="14"/>
      <c r="B43" s="15" t="str">
        <f>IFERROR(__xludf.DUMMYFUNCTION("""COMPUTED_VALUE"""),"2017 Q1")</f>
        <v>2017 Q1</v>
      </c>
      <c r="C43" s="16">
        <f>IFERROR(__xludf.DUMMYFUNCTION("""COMPUTED_VALUE"""),6693.0)</f>
        <v>6693</v>
      </c>
      <c r="D43" s="16">
        <f>IFERROR(__xludf.DUMMYFUNCTION("""COMPUTED_VALUE"""),6689.0)</f>
        <v>6689</v>
      </c>
      <c r="E43" s="16">
        <f>IFERROR(__xludf.DUMMYFUNCTION("""COMPUTED_VALUE"""),11669.0)</f>
        <v>11669</v>
      </c>
      <c r="F43" s="17">
        <v>25051.0</v>
      </c>
      <c r="G43" s="14"/>
      <c r="H43" s="15" t="str">
        <f>IFERROR(__xludf.DUMMYFUNCTION("""COMPUTED_VALUE"""),"2017 Q1")</f>
        <v>2017 Q1</v>
      </c>
      <c r="I43" s="16"/>
      <c r="J43" s="16"/>
      <c r="K43" s="16">
        <f>IFERROR(__xludf.DUMMYFUNCTION("""COMPUTED_VALUE"""),6693.0)</f>
        <v>6693</v>
      </c>
      <c r="L43" s="16"/>
      <c r="M43" s="16"/>
      <c r="N43" s="16">
        <f>IFERROR(__xludf.DUMMYFUNCTION("""COMPUTED_VALUE"""),6689.0)</f>
        <v>6689</v>
      </c>
      <c r="O43" s="16"/>
      <c r="P43" s="16"/>
      <c r="Q43" s="16"/>
      <c r="R43" s="16">
        <f>IFERROR(__xludf.DUMMYFUNCTION("""COMPUTED_VALUE"""),11669.0)</f>
        <v>11669</v>
      </c>
      <c r="S43" s="16"/>
      <c r="T43" s="17">
        <v>25051.0</v>
      </c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>
      <c r="A44" s="14"/>
      <c r="B44" s="15" t="str">
        <f>IFERROR(__xludf.DUMMYFUNCTION("""COMPUTED_VALUE"""),"2017 Q2")</f>
        <v>2017 Q2</v>
      </c>
      <c r="C44" s="16">
        <f>IFERROR(__xludf.DUMMYFUNCTION("""COMPUTED_VALUE"""),4832.0)</f>
        <v>4832</v>
      </c>
      <c r="D44" s="16">
        <f>IFERROR(__xludf.DUMMYFUNCTION("""COMPUTED_VALUE"""),5541.0)</f>
        <v>5541</v>
      </c>
      <c r="E44" s="16">
        <f>IFERROR(__xludf.DUMMYFUNCTION("""COMPUTED_VALUE"""),11653.0)</f>
        <v>11653</v>
      </c>
      <c r="F44" s="17">
        <v>22026.0</v>
      </c>
      <c r="G44" s="14"/>
      <c r="H44" s="15" t="str">
        <f>IFERROR(__xludf.DUMMYFUNCTION("""COMPUTED_VALUE"""),"2017 Q2")</f>
        <v>2017 Q2</v>
      </c>
      <c r="I44" s="16"/>
      <c r="J44" s="16"/>
      <c r="K44" s="16">
        <f>IFERROR(__xludf.DUMMYFUNCTION("""COMPUTED_VALUE"""),4832.0)</f>
        <v>4832</v>
      </c>
      <c r="L44" s="16"/>
      <c r="M44" s="16"/>
      <c r="N44" s="16">
        <f>IFERROR(__xludf.DUMMYFUNCTION("""COMPUTED_VALUE"""),5541.0)</f>
        <v>5541</v>
      </c>
      <c r="O44" s="16"/>
      <c r="P44" s="16"/>
      <c r="Q44" s="16"/>
      <c r="R44" s="16">
        <f>IFERROR(__xludf.DUMMYFUNCTION("""COMPUTED_VALUE"""),11653.0)</f>
        <v>11653</v>
      </c>
      <c r="S44" s="16"/>
      <c r="T44" s="17">
        <v>22026.0</v>
      </c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>
      <c r="A45" s="14"/>
      <c r="B45" s="15" t="str">
        <f>IFERROR(__xludf.DUMMYFUNCTION("""COMPUTED_VALUE"""),"2017 Q3")</f>
        <v>2017 Q3</v>
      </c>
      <c r="C45" s="16">
        <f>IFERROR(__xludf.DUMMYFUNCTION("""COMPUTED_VALUE"""),5885.0)</f>
        <v>5885</v>
      </c>
      <c r="D45" s="16">
        <f>IFERROR(__xludf.DUMMYFUNCTION("""COMPUTED_VALUE"""),7105.0)</f>
        <v>7105</v>
      </c>
      <c r="E45" s="16">
        <f>IFERROR(__xludf.DUMMYFUNCTION("""COMPUTED_VALUE"""),13147.0)</f>
        <v>13147</v>
      </c>
      <c r="F45" s="17">
        <v>26137.0</v>
      </c>
      <c r="G45" s="14"/>
      <c r="H45" s="15" t="str">
        <f>IFERROR(__xludf.DUMMYFUNCTION("""COMPUTED_VALUE"""),"2017 Q3")</f>
        <v>2017 Q3</v>
      </c>
      <c r="I45" s="16"/>
      <c r="J45" s="16"/>
      <c r="K45" s="16">
        <f>IFERROR(__xludf.DUMMYFUNCTION("""COMPUTED_VALUE"""),5885.0)</f>
        <v>5885</v>
      </c>
      <c r="L45" s="16"/>
      <c r="M45" s="16"/>
      <c r="N45" s="16">
        <f>IFERROR(__xludf.DUMMYFUNCTION("""COMPUTED_VALUE"""),7105.0)</f>
        <v>7105</v>
      </c>
      <c r="O45" s="16"/>
      <c r="P45" s="16"/>
      <c r="Q45" s="16">
        <f>IFERROR(__xludf.DUMMYFUNCTION("""COMPUTED_VALUE"""),222.0)</f>
        <v>222</v>
      </c>
      <c r="R45" s="16">
        <f>IFERROR(__xludf.DUMMYFUNCTION("""COMPUTED_VALUE"""),12925.0)</f>
        <v>12925</v>
      </c>
      <c r="S45" s="16"/>
      <c r="T45" s="17">
        <v>26137.0</v>
      </c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>
      <c r="A46" s="14"/>
      <c r="B46" s="15" t="str">
        <f>IFERROR(__xludf.DUMMYFUNCTION("""COMPUTED_VALUE"""),"2017 Q4")</f>
        <v>2017 Q4</v>
      </c>
      <c r="C46" s="16">
        <f>IFERROR(__xludf.DUMMYFUNCTION("""COMPUTED_VALUE"""),4742.0)</f>
        <v>4742</v>
      </c>
      <c r="D46" s="16">
        <f>IFERROR(__xludf.DUMMYFUNCTION("""COMPUTED_VALUE"""),8944.0)</f>
        <v>8944</v>
      </c>
      <c r="E46" s="16">
        <f>IFERROR(__xludf.DUMMYFUNCTION("""COMPUTED_VALUE"""),16281.0)</f>
        <v>16281</v>
      </c>
      <c r="F46" s="17">
        <v>29967.0</v>
      </c>
      <c r="G46" s="14"/>
      <c r="H46" s="15" t="str">
        <f>IFERROR(__xludf.DUMMYFUNCTION("""COMPUTED_VALUE"""),"2017 Q4")</f>
        <v>2017 Q4</v>
      </c>
      <c r="I46" s="16"/>
      <c r="J46" s="16"/>
      <c r="K46" s="16">
        <f>IFERROR(__xludf.DUMMYFUNCTION("""COMPUTED_VALUE"""),4742.0)</f>
        <v>4742</v>
      </c>
      <c r="L46" s="16"/>
      <c r="M46" s="16"/>
      <c r="N46" s="16">
        <f>IFERROR(__xludf.DUMMYFUNCTION("""COMPUTED_VALUE"""),8944.0)</f>
        <v>8944</v>
      </c>
      <c r="O46" s="16"/>
      <c r="P46" s="16"/>
      <c r="Q46" s="16">
        <f>IFERROR(__xludf.DUMMYFUNCTION("""COMPUTED_VALUE"""),1542.0)</f>
        <v>1542</v>
      </c>
      <c r="R46" s="16">
        <f>IFERROR(__xludf.DUMMYFUNCTION("""COMPUTED_VALUE"""),14739.0)</f>
        <v>14739</v>
      </c>
      <c r="S46" s="16"/>
      <c r="T46" s="17">
        <v>29967.0</v>
      </c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>
      <c r="A47" s="14"/>
      <c r="B47" s="15" t="str">
        <f>IFERROR(__xludf.DUMMYFUNCTION("""COMPUTED_VALUE"""),"2018 Q1")</f>
        <v>2018 Q1</v>
      </c>
      <c r="C47" s="16">
        <f>IFERROR(__xludf.DUMMYFUNCTION("""COMPUTED_VALUE"""),4979.0)</f>
        <v>4979</v>
      </c>
      <c r="D47" s="16">
        <f>IFERROR(__xludf.DUMMYFUNCTION("""COMPUTED_VALUE"""),6124.0)</f>
        <v>6124</v>
      </c>
      <c r="E47" s="16">
        <f>IFERROR(__xludf.DUMMYFUNCTION("""COMPUTED_VALUE"""),18894.0)</f>
        <v>18894</v>
      </c>
      <c r="F47" s="17">
        <v>29997.0</v>
      </c>
      <c r="G47" s="14"/>
      <c r="H47" s="15" t="str">
        <f>IFERROR(__xludf.DUMMYFUNCTION("""COMPUTED_VALUE"""),"2018 Q1")</f>
        <v>2018 Q1</v>
      </c>
      <c r="I47" s="16"/>
      <c r="J47" s="16"/>
      <c r="K47" s="16">
        <f>IFERROR(__xludf.DUMMYFUNCTION("""COMPUTED_VALUE"""),4979.0)</f>
        <v>4979</v>
      </c>
      <c r="L47" s="16"/>
      <c r="M47" s="16"/>
      <c r="N47" s="16">
        <f>IFERROR(__xludf.DUMMYFUNCTION("""COMPUTED_VALUE"""),6124.0)</f>
        <v>6124</v>
      </c>
      <c r="O47" s="16"/>
      <c r="P47" s="16"/>
      <c r="Q47" s="16">
        <f>IFERROR(__xludf.DUMMYFUNCTION("""COMPUTED_VALUE"""),8182.0)</f>
        <v>8182</v>
      </c>
      <c r="R47" s="16">
        <f>IFERROR(__xludf.DUMMYFUNCTION("""COMPUTED_VALUE"""),10712.0)</f>
        <v>10712</v>
      </c>
      <c r="S47" s="16"/>
      <c r="T47" s="17">
        <v>29997.0</v>
      </c>
      <c r="U47" s="10"/>
      <c r="V47" s="18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>
      <c r="A48" s="14"/>
      <c r="B48" s="15" t="str">
        <f>IFERROR(__xludf.DUMMYFUNCTION("""COMPUTED_VALUE"""),"2018 Q2")</f>
        <v>2018 Q2</v>
      </c>
      <c r="C48" s="16">
        <f>IFERROR(__xludf.DUMMYFUNCTION("""COMPUTED_VALUE"""),6051.0)</f>
        <v>6051</v>
      </c>
      <c r="D48" s="16">
        <f>IFERROR(__xludf.DUMMYFUNCTION("""COMPUTED_VALUE"""),7197.0)</f>
        <v>7197</v>
      </c>
      <c r="E48" s="16">
        <f>IFERROR(__xludf.DUMMYFUNCTION("""COMPUTED_VALUE"""),27520.0)</f>
        <v>27520</v>
      </c>
      <c r="F48" s="17">
        <v>40768.0</v>
      </c>
      <c r="G48" s="14"/>
      <c r="H48" s="15" t="str">
        <f>IFERROR(__xludf.DUMMYFUNCTION("""COMPUTED_VALUE"""),"2018 Q2")</f>
        <v>2018 Q2</v>
      </c>
      <c r="I48" s="16"/>
      <c r="J48" s="16"/>
      <c r="K48" s="16">
        <f>IFERROR(__xludf.DUMMYFUNCTION("""COMPUTED_VALUE"""),6051.0)</f>
        <v>6051</v>
      </c>
      <c r="L48" s="16"/>
      <c r="M48" s="16"/>
      <c r="N48" s="16">
        <f>IFERROR(__xludf.DUMMYFUNCTION("""COMPUTED_VALUE"""),7197.0)</f>
        <v>7197</v>
      </c>
      <c r="O48" s="16"/>
      <c r="P48" s="16"/>
      <c r="Q48" s="16">
        <f>IFERROR(__xludf.DUMMYFUNCTION("""COMPUTED_VALUE"""),18449.0)</f>
        <v>18449</v>
      </c>
      <c r="R48" s="16">
        <f>IFERROR(__xludf.DUMMYFUNCTION("""COMPUTED_VALUE"""),9071.0)</f>
        <v>9071</v>
      </c>
      <c r="S48" s="16"/>
      <c r="T48" s="17">
        <v>40768.0</v>
      </c>
      <c r="U48" s="10"/>
      <c r="V48" s="18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>
      <c r="A49" s="14"/>
      <c r="B49" s="15" t="str">
        <f>IFERROR(__xludf.DUMMYFUNCTION("""COMPUTED_VALUE"""),"2018 Q3")</f>
        <v>2018 Q3</v>
      </c>
      <c r="C49" s="16">
        <f>IFERROR(__xludf.DUMMYFUNCTION("""COMPUTED_VALUE"""),3729.0)</f>
        <v>3729</v>
      </c>
      <c r="D49" s="16">
        <f>IFERROR(__xludf.DUMMYFUNCTION("""COMPUTED_VALUE"""),7777.0)</f>
        <v>7777</v>
      </c>
      <c r="E49" s="16">
        <f>IFERROR(__xludf.DUMMYFUNCTION("""COMPUTED_VALUE"""),72269.0)</f>
        <v>72269</v>
      </c>
      <c r="F49" s="17">
        <v>83775.0</v>
      </c>
      <c r="G49" s="14"/>
      <c r="H49" s="15" t="str">
        <f>IFERROR(__xludf.DUMMYFUNCTION("""COMPUTED_VALUE"""),"2018 Q3")</f>
        <v>2018 Q3</v>
      </c>
      <c r="I49" s="16"/>
      <c r="J49" s="16"/>
      <c r="K49" s="16">
        <f>IFERROR(__xludf.DUMMYFUNCTION("""COMPUTED_VALUE"""),3729.0)</f>
        <v>3729</v>
      </c>
      <c r="L49" s="16"/>
      <c r="M49" s="16"/>
      <c r="N49" s="16">
        <f>IFERROR(__xludf.DUMMYFUNCTION("""COMPUTED_VALUE"""),7777.0)</f>
        <v>7777</v>
      </c>
      <c r="O49" s="16"/>
      <c r="P49" s="16"/>
      <c r="Q49" s="16">
        <f>IFERROR(__xludf.DUMMYFUNCTION("""COMPUTED_VALUE"""),56065.0)</f>
        <v>56065</v>
      </c>
      <c r="R49" s="16">
        <f>IFERROR(__xludf.DUMMYFUNCTION("""COMPUTED_VALUE"""),16204.0)</f>
        <v>16204</v>
      </c>
      <c r="S49" s="16"/>
      <c r="T49" s="17">
        <v>83775.0</v>
      </c>
      <c r="U49" s="10"/>
      <c r="V49" s="18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>
      <c r="A50" s="14"/>
      <c r="B50" s="15" t="str">
        <f>IFERROR(__xludf.DUMMYFUNCTION("""COMPUTED_VALUE"""),"2018 Q4")</f>
        <v>2018 Q4</v>
      </c>
      <c r="C50" s="16">
        <f>IFERROR(__xludf.DUMMYFUNCTION("""COMPUTED_VALUE"""),3649.0)</f>
        <v>3649</v>
      </c>
      <c r="D50" s="16">
        <f>IFERROR(__xludf.DUMMYFUNCTION("""COMPUTED_VALUE"""),8159.0)</f>
        <v>8159</v>
      </c>
      <c r="E50" s="16">
        <f>IFERROR(__xludf.DUMMYFUNCTION("""COMPUTED_VALUE"""),79158.0)</f>
        <v>79158</v>
      </c>
      <c r="F50" s="17">
        <v>90966.0</v>
      </c>
      <c r="G50" s="14"/>
      <c r="H50" s="15" t="str">
        <f>IFERROR(__xludf.DUMMYFUNCTION("""COMPUTED_VALUE"""),"2018 Q4")</f>
        <v>2018 Q4</v>
      </c>
      <c r="I50" s="16"/>
      <c r="J50" s="16"/>
      <c r="K50" s="16">
        <f>IFERROR(__xludf.DUMMYFUNCTION("""COMPUTED_VALUE"""),3649.0)</f>
        <v>3649</v>
      </c>
      <c r="L50" s="16"/>
      <c r="M50" s="16"/>
      <c r="N50" s="16">
        <f>IFERROR(__xludf.DUMMYFUNCTION("""COMPUTED_VALUE"""),8159.0)</f>
        <v>8159</v>
      </c>
      <c r="O50" s="16"/>
      <c r="P50" s="16"/>
      <c r="Q50" s="16">
        <f>IFERROR(__xludf.DUMMYFUNCTION("""COMPUTED_VALUE"""),63359.0)</f>
        <v>63359</v>
      </c>
      <c r="R50" s="16">
        <f>IFERROR(__xludf.DUMMYFUNCTION("""COMPUTED_VALUE"""),15799.0)</f>
        <v>15799</v>
      </c>
      <c r="S50" s="16"/>
      <c r="T50" s="17">
        <v>90966.0</v>
      </c>
      <c r="U50" s="10"/>
      <c r="V50" s="18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>
      <c r="A51" s="14"/>
      <c r="B51" s="15" t="str">
        <f>IFERROR(__xludf.DUMMYFUNCTION("""COMPUTED_VALUE"""),"2019 Q1")</f>
        <v>2019 Q1</v>
      </c>
      <c r="C51" s="16">
        <f>IFERROR(__xludf.DUMMYFUNCTION("""COMPUTED_VALUE"""),7224.0)</f>
        <v>7224</v>
      </c>
      <c r="D51" s="16">
        <f>IFERROR(__xludf.DUMMYFUNCTION("""COMPUTED_VALUE"""),22762.0)</f>
        <v>22762</v>
      </c>
      <c r="E51" s="16">
        <f>IFERROR(__xludf.DUMMYFUNCTION("""COMPUTED_VALUE"""),33033.0)</f>
        <v>33033</v>
      </c>
      <c r="F51" s="17">
        <v>63019.0</v>
      </c>
      <c r="G51" s="14"/>
      <c r="H51" s="15" t="str">
        <f>IFERROR(__xludf.DUMMYFUNCTION("""COMPUTED_VALUE"""),"2019 Q1")</f>
        <v>2019 Q1</v>
      </c>
      <c r="I51" s="16"/>
      <c r="J51" s="16">
        <f>IFERROR(__xludf.DUMMYFUNCTION("""COMPUTED_VALUE"""),3738.0)</f>
        <v>3738</v>
      </c>
      <c r="K51" s="16">
        <f>IFERROR(__xludf.DUMMYFUNCTION("""COMPUTED_VALUE"""),3486.0)</f>
        <v>3486</v>
      </c>
      <c r="L51" s="16"/>
      <c r="M51" s="16">
        <f>IFERROR(__xludf.DUMMYFUNCTION("""COMPUTED_VALUE"""),19643.0)</f>
        <v>19643</v>
      </c>
      <c r="N51" s="16">
        <f>IFERROR(__xludf.DUMMYFUNCTION("""COMPUTED_VALUE"""),3119.0)</f>
        <v>3119</v>
      </c>
      <c r="O51" s="16"/>
      <c r="P51" s="16"/>
      <c r="Q51" s="16">
        <f>IFERROR(__xludf.DUMMYFUNCTION("""COMPUTED_VALUE"""),27547.0)</f>
        <v>27547</v>
      </c>
      <c r="R51" s="16">
        <f>IFERROR(__xludf.DUMMYFUNCTION("""COMPUTED_VALUE"""),5486.0)</f>
        <v>5486</v>
      </c>
      <c r="S51" s="16"/>
      <c r="T51" s="17">
        <v>63019.0</v>
      </c>
      <c r="U51" s="10"/>
      <c r="V51" s="18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>
      <c r="A52" s="14"/>
      <c r="B52" s="15" t="str">
        <f>IFERROR(__xludf.DUMMYFUNCTION("""COMPUTED_VALUE"""),"2019 Q2")</f>
        <v>2019 Q2</v>
      </c>
      <c r="C52" s="16">
        <f>IFERROR(__xludf.DUMMYFUNCTION("""COMPUTED_VALUE"""),12590.0)</f>
        <v>12590</v>
      </c>
      <c r="D52" s="16">
        <f>IFERROR(__xludf.DUMMYFUNCTION("""COMPUTED_VALUE"""),22805.0)</f>
        <v>22805</v>
      </c>
      <c r="E52" s="16">
        <f>IFERROR(__xludf.DUMMYFUNCTION("""COMPUTED_VALUE"""),59961.0)</f>
        <v>59961</v>
      </c>
      <c r="F52" s="17">
        <v>95356.0</v>
      </c>
      <c r="G52" s="14"/>
      <c r="H52" s="15" t="str">
        <f>IFERROR(__xludf.DUMMYFUNCTION("""COMPUTED_VALUE"""),"2019 Q2")</f>
        <v>2019 Q2</v>
      </c>
      <c r="I52" s="16"/>
      <c r="J52" s="16">
        <f>IFERROR(__xludf.DUMMYFUNCTION("""COMPUTED_VALUE"""),8139.0)</f>
        <v>8139</v>
      </c>
      <c r="K52" s="16">
        <f>IFERROR(__xludf.DUMMYFUNCTION("""COMPUTED_VALUE"""),4451.0)</f>
        <v>4451</v>
      </c>
      <c r="L52" s="16"/>
      <c r="M52" s="16">
        <f>IFERROR(__xludf.DUMMYFUNCTION("""COMPUTED_VALUE"""),18220.0)</f>
        <v>18220</v>
      </c>
      <c r="N52" s="16">
        <f>IFERROR(__xludf.DUMMYFUNCTION("""COMPUTED_VALUE"""),4585.0)</f>
        <v>4585</v>
      </c>
      <c r="O52" s="16"/>
      <c r="P52" s="16"/>
      <c r="Q52" s="16">
        <f>IFERROR(__xludf.DUMMYFUNCTION("""COMPUTED_VALUE"""),51275.0)</f>
        <v>51275</v>
      </c>
      <c r="R52" s="16">
        <f>IFERROR(__xludf.DUMMYFUNCTION("""COMPUTED_VALUE"""),8686.0)</f>
        <v>8686</v>
      </c>
      <c r="S52" s="16"/>
      <c r="T52" s="17">
        <v>95356.0</v>
      </c>
      <c r="U52" s="10"/>
      <c r="V52" s="18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>
      <c r="A53" s="14"/>
      <c r="B53" s="15" t="str">
        <f>IFERROR(__xludf.DUMMYFUNCTION("""COMPUTED_VALUE"""),"2019 Q3")</f>
        <v>2019 Q3</v>
      </c>
      <c r="C53" s="16">
        <f>IFERROR(__xludf.DUMMYFUNCTION("""COMPUTED_VALUE"""),14608.0)</f>
        <v>14608</v>
      </c>
      <c r="D53" s="16">
        <f>IFERROR(__xludf.DUMMYFUNCTION("""COMPUTED_VALUE"""),30081.0)</f>
        <v>30081</v>
      </c>
      <c r="E53" s="16">
        <f>IFERROR(__xludf.DUMMYFUNCTION("""COMPUTED_VALUE"""),52497.0)</f>
        <v>52497</v>
      </c>
      <c r="F53" s="17">
        <v>97186.0</v>
      </c>
      <c r="G53" s="14"/>
      <c r="H53" s="15" t="str">
        <f>IFERROR(__xludf.DUMMYFUNCTION("""COMPUTED_VALUE"""),"2019 Q3")</f>
        <v>2019 Q3</v>
      </c>
      <c r="I53" s="16"/>
      <c r="J53" s="16">
        <f>IFERROR(__xludf.DUMMYFUNCTION("""COMPUTED_VALUE"""),10648.0)</f>
        <v>10648</v>
      </c>
      <c r="K53" s="16">
        <f>IFERROR(__xludf.DUMMYFUNCTION("""COMPUTED_VALUE"""),3960.0)</f>
        <v>3960</v>
      </c>
      <c r="L53" s="16"/>
      <c r="M53" s="16">
        <f>IFERROR(__xludf.DUMMYFUNCTION("""COMPUTED_VALUE"""),26080.0)</f>
        <v>26080</v>
      </c>
      <c r="N53" s="16">
        <f>IFERROR(__xludf.DUMMYFUNCTION("""COMPUTED_VALUE"""),4001.0)</f>
        <v>4001</v>
      </c>
      <c r="O53" s="16"/>
      <c r="P53" s="16"/>
      <c r="Q53" s="16">
        <f>IFERROR(__xludf.DUMMYFUNCTION("""COMPUTED_VALUE"""),42975.0)</f>
        <v>42975</v>
      </c>
      <c r="R53" s="16">
        <f>IFERROR(__xludf.DUMMYFUNCTION("""COMPUTED_VALUE"""),9522.0)</f>
        <v>9522</v>
      </c>
      <c r="S53" s="16"/>
      <c r="T53" s="17">
        <v>97186.0</v>
      </c>
      <c r="U53" s="10"/>
      <c r="V53" s="18"/>
      <c r="W53" s="37"/>
      <c r="X53" s="10"/>
      <c r="Y53" s="10"/>
      <c r="Z53" s="10"/>
      <c r="AA53" s="10"/>
      <c r="AB53" s="10"/>
      <c r="AC53" s="10"/>
      <c r="AD53" s="10"/>
      <c r="AE53" s="10"/>
      <c r="AF53" s="10"/>
    </row>
    <row r="54">
      <c r="A54" s="14"/>
      <c r="B54" s="15" t="str">
        <f>IFERROR(__xludf.DUMMYFUNCTION("""COMPUTED_VALUE"""),"2019 Q4")</f>
        <v>2019 Q4</v>
      </c>
      <c r="C54" s="16">
        <f>IFERROR(__xludf.DUMMYFUNCTION("""COMPUTED_VALUE"""),18836.0)</f>
        <v>18836</v>
      </c>
      <c r="D54" s="16">
        <f>IFERROR(__xludf.DUMMYFUNCTION("""COMPUTED_VALUE"""),35471.0)</f>
        <v>35471</v>
      </c>
      <c r="E54" s="16">
        <f>IFERROR(__xludf.DUMMYFUNCTION("""COMPUTED_VALUE"""),57788.0)</f>
        <v>57788</v>
      </c>
      <c r="F54" s="17">
        <v>112095.0</v>
      </c>
      <c r="G54" s="14"/>
      <c r="H54" s="15" t="str">
        <f>IFERROR(__xludf.DUMMYFUNCTION("""COMPUTED_VALUE"""),"2019 Q4")</f>
        <v>2019 Q4</v>
      </c>
      <c r="I54" s="16"/>
      <c r="J54" s="16">
        <f>IFERROR(__xludf.DUMMYFUNCTION("""COMPUTED_VALUE"""),15207.0)</f>
        <v>15207</v>
      </c>
      <c r="K54" s="16">
        <f>IFERROR(__xludf.DUMMYFUNCTION("""COMPUTED_VALUE"""),3629.0)</f>
        <v>3629</v>
      </c>
      <c r="L54" s="16"/>
      <c r="M54" s="16">
        <f>IFERROR(__xludf.DUMMYFUNCTION("""COMPUTED_VALUE"""),31941.0)</f>
        <v>31941</v>
      </c>
      <c r="N54" s="16">
        <f>IFERROR(__xludf.DUMMYFUNCTION("""COMPUTED_VALUE"""),3530.0)</f>
        <v>3530</v>
      </c>
      <c r="O54" s="16"/>
      <c r="P54" s="16"/>
      <c r="Q54" s="16">
        <f>IFERROR(__xludf.DUMMYFUNCTION("""COMPUTED_VALUE"""),45472.0)</f>
        <v>45472</v>
      </c>
      <c r="R54" s="16">
        <f>IFERROR(__xludf.DUMMYFUNCTION("""COMPUTED_VALUE"""),12316.0)</f>
        <v>12316</v>
      </c>
      <c r="S54" s="16"/>
      <c r="T54" s="17">
        <v>112095.0</v>
      </c>
      <c r="U54" s="10"/>
      <c r="V54" s="18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>
      <c r="A55" s="14"/>
      <c r="B55" s="15" t="str">
        <f>IFERROR(__xludf.DUMMYFUNCTION("""COMPUTED_VALUE"""),"2020 Q1")</f>
        <v>2020 Q1</v>
      </c>
      <c r="C55" s="16">
        <f>IFERROR(__xludf.DUMMYFUNCTION("""COMPUTED_VALUE"""),27266.0)</f>
        <v>27266</v>
      </c>
      <c r="D55" s="16">
        <f>IFERROR(__xludf.DUMMYFUNCTION("""COMPUTED_VALUE"""),23782.0)</f>
        <v>23782</v>
      </c>
      <c r="E55" s="16">
        <f>IFERROR(__xludf.DUMMYFUNCTION("""COMPUTED_VALUE"""),37448.0)</f>
        <v>37448</v>
      </c>
      <c r="F55" s="17">
        <v>88496.0</v>
      </c>
      <c r="G55" s="14"/>
      <c r="H55" s="15" t="str">
        <f>IFERROR(__xludf.DUMMYFUNCTION("""COMPUTED_VALUE"""),"2020 Q1")</f>
        <v>2020 Q1</v>
      </c>
      <c r="I55" s="16"/>
      <c r="J55" s="16">
        <f>IFERROR(__xludf.DUMMYFUNCTION("""COMPUTED_VALUE"""),25568.0)</f>
        <v>25568</v>
      </c>
      <c r="K55" s="16">
        <f>IFERROR(__xludf.DUMMYFUNCTION("""COMPUTED_VALUE"""),1698.0)</f>
        <v>1698</v>
      </c>
      <c r="L55" s="16"/>
      <c r="M55" s="16">
        <f>IFERROR(__xludf.DUMMYFUNCTION("""COMPUTED_VALUE"""),21235.0)</f>
        <v>21235</v>
      </c>
      <c r="N55" s="16">
        <f>IFERROR(__xludf.DUMMYFUNCTION("""COMPUTED_VALUE"""),2547.0)</f>
        <v>2547</v>
      </c>
      <c r="O55" s="16"/>
      <c r="P55" s="16"/>
      <c r="Q55" s="16">
        <f>IFERROR(__xludf.DUMMYFUNCTION("""COMPUTED_VALUE"""),27297.0)</f>
        <v>27297</v>
      </c>
      <c r="R55" s="16">
        <f>IFERROR(__xludf.DUMMYFUNCTION("""COMPUTED_VALUE"""),7985.0)</f>
        <v>7985</v>
      </c>
      <c r="S55" s="16">
        <f>IFERROR(__xludf.DUMMYFUNCTION("""COMPUTED_VALUE"""),2166.0)</f>
        <v>2166</v>
      </c>
      <c r="T55" s="17">
        <v>88496.0</v>
      </c>
      <c r="U55" s="10"/>
      <c r="V55" s="18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>
      <c r="A56" s="14"/>
      <c r="B56" s="15" t="str">
        <f>IFERROR(__xludf.DUMMYFUNCTION("""COMPUTED_VALUE"""),"2020 Q2")</f>
        <v>2020 Q2</v>
      </c>
      <c r="C56" s="16">
        <f>IFERROR(__xludf.DUMMYFUNCTION("""COMPUTED_VALUE"""),35464.0)</f>
        <v>35464</v>
      </c>
      <c r="D56" s="16">
        <f>IFERROR(__xludf.DUMMYFUNCTION("""COMPUTED_VALUE"""),13988.0)</f>
        <v>13988</v>
      </c>
      <c r="E56" s="16">
        <f>IFERROR(__xludf.DUMMYFUNCTION("""COMPUTED_VALUE"""),41439.0)</f>
        <v>41439</v>
      </c>
      <c r="F56" s="17">
        <v>90891.0</v>
      </c>
      <c r="G56" s="14"/>
      <c r="H56" s="15" t="str">
        <f>IFERROR(__xludf.DUMMYFUNCTION("""COMPUTED_VALUE"""),"2020 Q2")</f>
        <v>2020 Q2</v>
      </c>
      <c r="I56" s="16"/>
      <c r="J56" s="16">
        <f>IFERROR(__xludf.DUMMYFUNCTION("""COMPUTED_VALUE"""),34326.0)</f>
        <v>34326</v>
      </c>
      <c r="K56" s="16">
        <f>IFERROR(__xludf.DUMMYFUNCTION("""COMPUTED_VALUE"""),1138.0)</f>
        <v>1138</v>
      </c>
      <c r="L56" s="16"/>
      <c r="M56" s="16">
        <f>IFERROR(__xludf.DUMMYFUNCTION("""COMPUTED_VALUE"""),11972.0)</f>
        <v>11972</v>
      </c>
      <c r="N56" s="16">
        <f>IFERROR(__xludf.DUMMYFUNCTION("""COMPUTED_VALUE"""),2016.0)</f>
        <v>2016</v>
      </c>
      <c r="O56" s="16"/>
      <c r="P56" s="16"/>
      <c r="Q56" s="16">
        <f>IFERROR(__xludf.DUMMYFUNCTION("""COMPUTED_VALUE"""),20702.0)</f>
        <v>20702</v>
      </c>
      <c r="R56" s="16">
        <f>IFERROR(__xludf.DUMMYFUNCTION("""COMPUTED_VALUE"""),7460.0)</f>
        <v>7460</v>
      </c>
      <c r="S56" s="16">
        <f>IFERROR(__xludf.DUMMYFUNCTION("""COMPUTED_VALUE"""),13277.0)</f>
        <v>13277</v>
      </c>
      <c r="T56" s="17">
        <v>90891.0</v>
      </c>
      <c r="U56" s="10"/>
      <c r="V56" s="18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>
      <c r="A57" s="14"/>
      <c r="B57" s="15" t="str">
        <f>IFERROR(__xludf.DUMMYFUNCTION("""COMPUTED_VALUE"""),"2020 Q3")</f>
        <v>2020 Q3</v>
      </c>
      <c r="C57" s="16">
        <f>IFERROR(__xludf.DUMMYFUNCTION("""COMPUTED_VALUE"""),45118.0)</f>
        <v>45118</v>
      </c>
      <c r="D57" s="16">
        <f>IFERROR(__xludf.DUMMYFUNCTION("""COMPUTED_VALUE"""),27306.0)</f>
        <v>27306</v>
      </c>
      <c r="E57" s="16">
        <f>IFERROR(__xludf.DUMMYFUNCTION("""COMPUTED_VALUE"""),67169.0)</f>
        <v>67169</v>
      </c>
      <c r="F57" s="17">
        <v>139593.0</v>
      </c>
      <c r="G57" s="14"/>
      <c r="H57" s="15" t="str">
        <f>IFERROR(__xludf.DUMMYFUNCTION("""COMPUTED_VALUE"""),"2020 Q3")</f>
        <v>2020 Q3</v>
      </c>
      <c r="I57" s="16"/>
      <c r="J57" s="16">
        <f>IFERROR(__xludf.DUMMYFUNCTION("""COMPUTED_VALUE"""),41542.0)</f>
        <v>41542</v>
      </c>
      <c r="K57" s="16">
        <f>IFERROR(__xludf.DUMMYFUNCTION("""COMPUTED_VALUE"""),3576.0)</f>
        <v>3576</v>
      </c>
      <c r="L57" s="16"/>
      <c r="M57" s="16">
        <f>IFERROR(__xludf.DUMMYFUNCTION("""COMPUTED_VALUE"""),24074.0)</f>
        <v>24074</v>
      </c>
      <c r="N57" s="16">
        <f>IFERROR(__xludf.DUMMYFUNCTION("""COMPUTED_VALUE"""),3232.0)</f>
        <v>3232</v>
      </c>
      <c r="O57" s="16"/>
      <c r="P57" s="16"/>
      <c r="Q57" s="16">
        <f>IFERROR(__xludf.DUMMYFUNCTION("""COMPUTED_VALUE"""),26384.0)</f>
        <v>26384</v>
      </c>
      <c r="R57" s="16">
        <f>IFERROR(__xludf.DUMMYFUNCTION("""COMPUTED_VALUE"""),8467.0)</f>
        <v>8467</v>
      </c>
      <c r="S57" s="16">
        <f>IFERROR(__xludf.DUMMYFUNCTION("""COMPUTED_VALUE"""),32318.0)</f>
        <v>32318</v>
      </c>
      <c r="T57" s="17">
        <v>139593.0</v>
      </c>
      <c r="U57" s="10"/>
      <c r="V57" s="18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>
      <c r="A58" s="14"/>
      <c r="B58" s="15" t="str">
        <f>IFERROR(__xludf.DUMMYFUNCTION("""COMPUTED_VALUE"""),"2020 Q4")</f>
        <v>2020 Q4</v>
      </c>
      <c r="C58" s="16">
        <f>IFERROR(__xludf.DUMMYFUNCTION("""COMPUTED_VALUE"""),65811.0)</f>
        <v>65811</v>
      </c>
      <c r="D58" s="16">
        <f>IFERROR(__xludf.DUMMYFUNCTION("""COMPUTED_VALUE"""),34110.0)</f>
        <v>34110</v>
      </c>
      <c r="E58" s="16">
        <f>IFERROR(__xludf.DUMMYFUNCTION("""COMPUTED_VALUE"""),80746.0)</f>
        <v>80746</v>
      </c>
      <c r="F58" s="17">
        <v>180667.0</v>
      </c>
      <c r="G58" s="14"/>
      <c r="H58" s="15" t="str">
        <f>IFERROR(__xludf.DUMMYFUNCTION("""COMPUTED_VALUE"""),"2020 Q4")</f>
        <v>2020 Q4</v>
      </c>
      <c r="I58" s="16"/>
      <c r="J58" s="16">
        <f>IFERROR(__xludf.DUMMYFUNCTION("""COMPUTED_VALUE"""),62976.0)</f>
        <v>62976</v>
      </c>
      <c r="K58" s="16">
        <f>IFERROR(__xludf.DUMMYFUNCTION("""COMPUTED_VALUE"""),2835.0)</f>
        <v>2835</v>
      </c>
      <c r="L58" s="16"/>
      <c r="M58" s="16">
        <f>IFERROR(__xludf.DUMMYFUNCTION("""COMPUTED_VALUE"""),30695.0)</f>
        <v>30695</v>
      </c>
      <c r="N58" s="16">
        <f>IFERROR(__xludf.DUMMYFUNCTION("""COMPUTED_VALUE"""),3415.0)</f>
        <v>3415</v>
      </c>
      <c r="O58" s="16"/>
      <c r="P58" s="16"/>
      <c r="Q58" s="16">
        <f>IFERROR(__xludf.DUMMYFUNCTION("""COMPUTED_VALUE"""),29479.0)</f>
        <v>29479</v>
      </c>
      <c r="R58" s="16">
        <f>IFERROR(__xludf.DUMMYFUNCTION("""COMPUTED_VALUE"""),12716.0)</f>
        <v>12716</v>
      </c>
      <c r="S58" s="16">
        <f>IFERROR(__xludf.DUMMYFUNCTION("""COMPUTED_VALUE"""),38551.0)</f>
        <v>38551</v>
      </c>
      <c r="T58" s="17">
        <v>180667.0</v>
      </c>
      <c r="U58" s="10"/>
      <c r="V58" s="18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>
      <c r="A59" s="14"/>
      <c r="B59" s="15" t="str">
        <f>IFERROR(__xludf.DUMMYFUNCTION("""COMPUTED_VALUE"""),"2021 Q1")</f>
        <v>2021 Q1</v>
      </c>
      <c r="C59" s="16">
        <f>IFERROR(__xludf.DUMMYFUNCTION("""COMPUTED_VALUE"""),78934.0)</f>
        <v>78934</v>
      </c>
      <c r="D59" s="16">
        <f>IFERROR(__xludf.DUMMYFUNCTION("""COMPUTED_VALUE"""),31530.0)</f>
        <v>31530</v>
      </c>
      <c r="E59" s="16">
        <f>IFERROR(__xludf.DUMMYFUNCTION("""COMPUTED_VALUE"""),74413.0)</f>
        <v>74413</v>
      </c>
      <c r="F59" s="17">
        <v>184877.0</v>
      </c>
      <c r="G59" s="14"/>
      <c r="H59" s="15" t="str">
        <f>IFERROR(__xludf.DUMMYFUNCTION("""COMPUTED_VALUE"""),"2021 Q1")</f>
        <v>2021 Q1</v>
      </c>
      <c r="I59" s="16"/>
      <c r="J59" s="16">
        <f>IFERROR(__xludf.DUMMYFUNCTION("""COMPUTED_VALUE"""),61973.0)</f>
        <v>61973</v>
      </c>
      <c r="K59" s="16">
        <f>IFERROR(__xludf.DUMMYFUNCTION("""COMPUTED_VALUE"""),519.0)</f>
        <v>519</v>
      </c>
      <c r="L59" s="16">
        <f>IFERROR(__xludf.DUMMYFUNCTION("""COMPUTED_VALUE"""),16442.0)</f>
        <v>16442</v>
      </c>
      <c r="M59" s="16">
        <f>IFERROR(__xludf.DUMMYFUNCTION("""COMPUTED_VALUE"""),31246.0)</f>
        <v>31246</v>
      </c>
      <c r="N59" s="16">
        <f>IFERROR(__xludf.DUMMYFUNCTION("""COMPUTED_VALUE"""),284.0)</f>
        <v>284</v>
      </c>
      <c r="O59" s="16"/>
      <c r="P59" s="16"/>
      <c r="Q59" s="16">
        <f>IFERROR(__xludf.DUMMYFUNCTION("""COMPUTED_VALUE"""),28081.0)</f>
        <v>28081</v>
      </c>
      <c r="R59" s="16">
        <f>IFERROR(__xludf.DUMMYFUNCTION("""COMPUTED_VALUE"""),1227.0)</f>
        <v>1227</v>
      </c>
      <c r="S59" s="16">
        <f>IFERROR(__xludf.DUMMYFUNCTION("""COMPUTED_VALUE"""),45105.0)</f>
        <v>45105</v>
      </c>
      <c r="T59" s="17">
        <v>184877.0</v>
      </c>
      <c r="U59" s="10"/>
      <c r="V59" s="18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>
      <c r="A60" s="14"/>
      <c r="B60" s="15" t="str">
        <f>IFERROR(__xludf.DUMMYFUNCTION("""COMPUTED_VALUE"""),"2021 Q2")</f>
        <v>2021 Q2</v>
      </c>
      <c r="C60" s="16">
        <f>IFERROR(__xludf.DUMMYFUNCTION("""COMPUTED_VALUE"""),81093.0)</f>
        <v>81093</v>
      </c>
      <c r="D60" s="16">
        <f>IFERROR(__xludf.DUMMYFUNCTION("""COMPUTED_VALUE"""),36480.0)</f>
        <v>36480</v>
      </c>
      <c r="E60" s="16">
        <f>IFERROR(__xludf.DUMMYFUNCTION("""COMPUTED_VALUE"""),83731.0)</f>
        <v>83731</v>
      </c>
      <c r="F60" s="17">
        <v>201304.0</v>
      </c>
      <c r="G60" s="14"/>
      <c r="H60" s="15" t="str">
        <f>IFERROR(__xludf.DUMMYFUNCTION("""COMPUTED_VALUE"""),"2021 Q2")</f>
        <v>2021 Q2</v>
      </c>
      <c r="I60" s="16"/>
      <c r="J60" s="16">
        <f>IFERROR(__xludf.DUMMYFUNCTION("""COMPUTED_VALUE"""),45942.0)</f>
        <v>45942</v>
      </c>
      <c r="K60" s="16">
        <f>IFERROR(__xludf.DUMMYFUNCTION("""COMPUTED_VALUE"""),70.0)</f>
        <v>70</v>
      </c>
      <c r="L60" s="16">
        <f>IFERROR(__xludf.DUMMYFUNCTION("""COMPUTED_VALUE"""),35081.0)</f>
        <v>35081</v>
      </c>
      <c r="M60" s="16">
        <f>IFERROR(__xludf.DUMMYFUNCTION("""COMPUTED_VALUE"""),36465.0)</f>
        <v>36465</v>
      </c>
      <c r="N60" s="16">
        <f>IFERROR(__xludf.DUMMYFUNCTION("""COMPUTED_VALUE"""),15.0)</f>
        <v>15</v>
      </c>
      <c r="O60" s="16"/>
      <c r="P60" s="16"/>
      <c r="Q60" s="16">
        <f>IFERROR(__xludf.DUMMYFUNCTION("""COMPUTED_VALUE"""),32918.0)</f>
        <v>32918</v>
      </c>
      <c r="R60" s="16">
        <f>IFERROR(__xludf.DUMMYFUNCTION("""COMPUTED_VALUE"""),1810.0)</f>
        <v>1810</v>
      </c>
      <c r="S60" s="16">
        <f>IFERROR(__xludf.DUMMYFUNCTION("""COMPUTED_VALUE"""),49003.0)</f>
        <v>49003</v>
      </c>
      <c r="T60" s="17">
        <v>201304.0</v>
      </c>
      <c r="U60" s="10"/>
      <c r="V60" s="18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>
      <c r="A61" s="14"/>
      <c r="B61" s="15" t="str">
        <f>IFERROR(__xludf.DUMMYFUNCTION("""COMPUTED_VALUE"""),"2021 Q3")</f>
        <v>2021 Q3</v>
      </c>
      <c r="C61" s="16">
        <f>IFERROR(__xludf.DUMMYFUNCTION("""COMPUTED_VALUE"""),90615.0)</f>
        <v>90615</v>
      </c>
      <c r="D61" s="16">
        <f>IFERROR(__xludf.DUMMYFUNCTION("""COMPUTED_VALUE"""),46344.0)</f>
        <v>46344</v>
      </c>
      <c r="E61" s="16">
        <f>IFERROR(__xludf.DUMMYFUNCTION("""COMPUTED_VALUE"""),104432.0)</f>
        <v>104432</v>
      </c>
      <c r="F61" s="17">
        <v>241391.0</v>
      </c>
      <c r="G61" s="14"/>
      <c r="H61" s="15" t="str">
        <f>IFERROR(__xludf.DUMMYFUNCTION("""COMPUTED_VALUE"""),"2021 Q3")</f>
        <v>2021 Q3</v>
      </c>
      <c r="I61" s="16"/>
      <c r="J61" s="16">
        <f>IFERROR(__xludf.DUMMYFUNCTION("""COMPUTED_VALUE"""),40186.0)</f>
        <v>40186</v>
      </c>
      <c r="K61" s="16">
        <f>IFERROR(__xludf.DUMMYFUNCTION("""COMPUTED_VALUE"""),40.0)</f>
        <v>40</v>
      </c>
      <c r="L61" s="16">
        <f>IFERROR(__xludf.DUMMYFUNCTION("""COMPUTED_VALUE"""),50389.0)</f>
        <v>50389</v>
      </c>
      <c r="M61" s="16">
        <f>IFERROR(__xludf.DUMMYFUNCTION("""COMPUTED_VALUE"""),33935.0)</f>
        <v>33935</v>
      </c>
      <c r="N61" s="16">
        <f>IFERROR(__xludf.DUMMYFUNCTION("""COMPUTED_VALUE"""),7.0)</f>
        <v>7</v>
      </c>
      <c r="O61" s="16">
        <f>IFERROR(__xludf.DUMMYFUNCTION("""COMPUTED_VALUE"""),12402.0)</f>
        <v>12402</v>
      </c>
      <c r="P61" s="16"/>
      <c r="Q61" s="16">
        <f>IFERROR(__xludf.DUMMYFUNCTION("""COMPUTED_VALUE"""),51435.0)</f>
        <v>51435</v>
      </c>
      <c r="R61" s="16">
        <f>IFERROR(__xludf.DUMMYFUNCTION("""COMPUTED_VALUE"""),9242.0)</f>
        <v>9242</v>
      </c>
      <c r="S61" s="16">
        <f>IFERROR(__xludf.DUMMYFUNCTION("""COMPUTED_VALUE"""),43755.0)</f>
        <v>43755</v>
      </c>
      <c r="T61" s="17">
        <v>241391.0</v>
      </c>
      <c r="U61" s="10"/>
      <c r="V61" s="18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>
      <c r="A62" s="14"/>
      <c r="B62" s="15" t="str">
        <f>IFERROR(__xludf.DUMMYFUNCTION("""COMPUTED_VALUE"""),"2021 Q4")</f>
        <v>2021 Q4</v>
      </c>
      <c r="C62" s="16">
        <f>IFERROR(__xludf.DUMMYFUNCTION("""COMPUTED_VALUE"""),129855.0)</f>
        <v>129855</v>
      </c>
      <c r="D62" s="16">
        <f>IFERROR(__xludf.DUMMYFUNCTION("""COMPUTED_VALUE"""),54997.0)</f>
        <v>54997</v>
      </c>
      <c r="E62" s="16">
        <f>IFERROR(__xludf.DUMMYFUNCTION("""COMPUTED_VALUE"""),123798.0)</f>
        <v>123798</v>
      </c>
      <c r="F62" s="17">
        <v>308650.0</v>
      </c>
      <c r="G62" s="14"/>
      <c r="H62" s="15" t="str">
        <f>IFERROR(__xludf.DUMMYFUNCTION("""COMPUTED_VALUE"""),"2021 Q4")</f>
        <v>2021 Q4</v>
      </c>
      <c r="I62" s="16"/>
      <c r="J62" s="16">
        <f>IFERROR(__xludf.DUMMYFUNCTION("""COMPUTED_VALUE"""),50040.0)</f>
        <v>50040</v>
      </c>
      <c r="K62" s="16">
        <f>IFERROR(__xludf.DUMMYFUNCTION("""COMPUTED_VALUE"""),1.0)</f>
        <v>1</v>
      </c>
      <c r="L62" s="16">
        <f>IFERROR(__xludf.DUMMYFUNCTION("""COMPUTED_VALUE"""),79814.0)</f>
        <v>79814</v>
      </c>
      <c r="M62" s="16">
        <f>IFERROR(__xludf.DUMMYFUNCTION("""COMPUTED_VALUE"""),42018.0)</f>
        <v>42018</v>
      </c>
      <c r="N62" s="16">
        <f>IFERROR(__xludf.DUMMYFUNCTION("""COMPUTED_VALUE"""),4.0)</f>
        <v>4</v>
      </c>
      <c r="O62" s="16">
        <f>IFERROR(__xludf.DUMMYFUNCTION("""COMPUTED_VALUE"""),12975.0)</f>
        <v>12975</v>
      </c>
      <c r="P62" s="16"/>
      <c r="Q62" s="16">
        <f>IFERROR(__xludf.DUMMYFUNCTION("""COMPUTED_VALUE"""),55945.0)</f>
        <v>55945</v>
      </c>
      <c r="R62" s="16">
        <f>IFERROR(__xludf.DUMMYFUNCTION("""COMPUTED_VALUE"""),11761.0)</f>
        <v>11761</v>
      </c>
      <c r="S62" s="16">
        <f>IFERROR(__xludf.DUMMYFUNCTION("""COMPUTED_VALUE"""),56092.0)</f>
        <v>56092</v>
      </c>
      <c r="T62" s="17">
        <v>308650.0</v>
      </c>
      <c r="U62" s="10"/>
      <c r="V62" s="18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>
      <c r="A63" s="14"/>
      <c r="B63" s="15" t="str">
        <f>IFERROR(__xludf.DUMMYFUNCTION("""COMPUTED_VALUE"""),"2022 Q1")</f>
        <v>2022 Q1</v>
      </c>
      <c r="C63" s="16">
        <f>IFERROR(__xludf.DUMMYFUNCTION("""COMPUTED_VALUE"""),126555.0)</f>
        <v>126555</v>
      </c>
      <c r="D63" s="16">
        <f>IFERROR(__xludf.DUMMYFUNCTION("""COMPUTED_VALUE"""),59603.0)</f>
        <v>59603</v>
      </c>
      <c r="E63" s="16">
        <f>IFERROR(__xludf.DUMMYFUNCTION("""COMPUTED_VALUE"""),123890.0)</f>
        <v>123890</v>
      </c>
      <c r="F63" s="17">
        <v>310048.0</v>
      </c>
      <c r="G63" s="14"/>
      <c r="H63" s="15" t="str">
        <f>IFERROR(__xludf.DUMMYFUNCTION("""COMPUTED_VALUE"""),"2022 Q1")</f>
        <v>2022 Q1</v>
      </c>
      <c r="I63" s="16"/>
      <c r="J63" s="16">
        <f>IFERROR(__xludf.DUMMYFUNCTION("""COMPUTED_VALUE"""),47980.0)</f>
        <v>47980</v>
      </c>
      <c r="K63" s="16">
        <f>IFERROR(__xludf.DUMMYFUNCTION("""COMPUTED_VALUE"""),0.0)</f>
        <v>0</v>
      </c>
      <c r="L63" s="16">
        <f>IFERROR(__xludf.DUMMYFUNCTION("""COMPUTED_VALUE"""),78575.0)</f>
        <v>78575</v>
      </c>
      <c r="M63" s="16">
        <f>IFERROR(__xludf.DUMMYFUNCTION("""COMPUTED_VALUE"""),32716.0)</f>
        <v>32716</v>
      </c>
      <c r="N63" s="16">
        <f>IFERROR(__xludf.DUMMYFUNCTION("""COMPUTED_VALUE"""),11.0)</f>
        <v>11</v>
      </c>
      <c r="O63" s="16">
        <f>IFERROR(__xludf.DUMMYFUNCTION("""COMPUTED_VALUE"""),26876.0)</f>
        <v>26876</v>
      </c>
      <c r="P63" s="16"/>
      <c r="Q63" s="16">
        <f>IFERROR(__xludf.DUMMYFUNCTION("""COMPUTED_VALUE"""),53103.0)</f>
        <v>53103</v>
      </c>
      <c r="R63" s="16">
        <f>IFERROR(__xludf.DUMMYFUNCTION("""COMPUTED_VALUE"""),14713.0)</f>
        <v>14713</v>
      </c>
      <c r="S63" s="16">
        <f>IFERROR(__xludf.DUMMYFUNCTION("""COMPUTED_VALUE"""),56074.0)</f>
        <v>56074</v>
      </c>
      <c r="T63" s="17">
        <v>310048.0</v>
      </c>
      <c r="U63" s="10"/>
      <c r="V63" s="18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>
      <c r="A64" s="14"/>
      <c r="B64" s="15" t="str">
        <f>IFERROR(__xludf.DUMMYFUNCTION("""COMPUTED_VALUE"""),"2022 Q2")</f>
        <v>2022 Q2</v>
      </c>
      <c r="C64" s="16">
        <f>IFERROR(__xludf.DUMMYFUNCTION("""COMPUTED_VALUE"""),100176.0)</f>
        <v>100176</v>
      </c>
      <c r="D64" s="16">
        <f>IFERROR(__xludf.DUMMYFUNCTION("""COMPUTED_VALUE"""),26220.0)</f>
        <v>26220</v>
      </c>
      <c r="E64" s="16">
        <f>IFERROR(__xludf.DUMMYFUNCTION("""COMPUTED_VALUE"""),128299.0)</f>
        <v>128299</v>
      </c>
      <c r="F64" s="17">
        <v>254695.0</v>
      </c>
      <c r="G64" s="14"/>
      <c r="H64" s="15" t="str">
        <f>IFERROR(__xludf.DUMMYFUNCTION("""COMPUTED_VALUE"""),"2022 Q2")</f>
        <v>2022 Q2</v>
      </c>
      <c r="I64" s="16"/>
      <c r="J64" s="16">
        <f>IFERROR(__xludf.DUMMYFUNCTION("""COMPUTED_VALUE"""),36592.0)</f>
        <v>36592</v>
      </c>
      <c r="K64" s="16">
        <f>IFERROR(__xludf.DUMMYFUNCTION("""COMPUTED_VALUE"""),0.0)</f>
        <v>0</v>
      </c>
      <c r="L64" s="16">
        <f>IFERROR(__xludf.DUMMYFUNCTION("""COMPUTED_VALUE"""),63584.0)</f>
        <v>63584</v>
      </c>
      <c r="M64" s="16">
        <f>IFERROR(__xludf.DUMMYFUNCTION("""COMPUTED_VALUE"""),7432.0)</f>
        <v>7432</v>
      </c>
      <c r="N64" s="16">
        <f>IFERROR(__xludf.DUMMYFUNCTION("""COMPUTED_VALUE"""),10.0)</f>
        <v>10</v>
      </c>
      <c r="O64" s="16">
        <f>IFERROR(__xludf.DUMMYFUNCTION("""COMPUTED_VALUE"""),18778.0)</f>
        <v>18778</v>
      </c>
      <c r="P64" s="16"/>
      <c r="Q64" s="16">
        <f>IFERROR(__xludf.DUMMYFUNCTION("""COMPUTED_VALUE"""),52444.0)</f>
        <v>52444</v>
      </c>
      <c r="R64" s="16">
        <f>IFERROR(__xludf.DUMMYFUNCTION("""COMPUTED_VALUE"""),16152.0)</f>
        <v>16152</v>
      </c>
      <c r="S64" s="16">
        <f>IFERROR(__xludf.DUMMYFUNCTION("""COMPUTED_VALUE"""),59703.0)</f>
        <v>59703</v>
      </c>
      <c r="T64" s="17">
        <v>254695.0</v>
      </c>
      <c r="U64" s="10"/>
      <c r="V64" s="18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>
      <c r="A65" s="14"/>
      <c r="B65" s="15" t="str">
        <f>IFERROR(__xludf.DUMMYFUNCTION("""COMPUTED_VALUE"""),"2022 Q3")</f>
        <v>2022 Q3</v>
      </c>
      <c r="C65" s="16">
        <f>IFERROR(__xludf.DUMMYFUNCTION("""COMPUTED_VALUE"""),149050.0)</f>
        <v>149050</v>
      </c>
      <c r="D65" s="16">
        <f>IFERROR(__xludf.DUMMYFUNCTION("""COMPUTED_VALUE"""),54304.0)</f>
        <v>54304</v>
      </c>
      <c r="E65" s="16">
        <f>IFERROR(__xludf.DUMMYFUNCTION("""COMPUTED_VALUE"""),140476.0)</f>
        <v>140476</v>
      </c>
      <c r="F65" s="17">
        <v>343830.0</v>
      </c>
      <c r="G65" s="14"/>
      <c r="H65" s="15" t="str">
        <f>IFERROR(__xludf.DUMMYFUNCTION("""COMPUTED_VALUE"""),"2022 Q3")</f>
        <v>2022 Q3</v>
      </c>
      <c r="I65" s="16"/>
      <c r="J65" s="16">
        <f>IFERROR(__xludf.DUMMYFUNCTION("""COMPUTED_VALUE"""),46620.0)</f>
        <v>46620</v>
      </c>
      <c r="K65" s="16">
        <f>IFERROR(__xludf.DUMMYFUNCTION("""COMPUTED_VALUE"""),0.0)</f>
        <v>0</v>
      </c>
      <c r="L65" s="16">
        <f>IFERROR(__xludf.DUMMYFUNCTION("""COMPUTED_VALUE"""),102430.0)</f>
        <v>102430</v>
      </c>
      <c r="M65" s="16">
        <f>IFERROR(__xludf.DUMMYFUNCTION("""COMPUTED_VALUE"""),15728.0)</f>
        <v>15728</v>
      </c>
      <c r="N65" s="16">
        <f>IFERROR(__xludf.DUMMYFUNCTION("""COMPUTED_VALUE"""),6.0)</f>
        <v>6</v>
      </c>
      <c r="O65" s="16">
        <f>IFERROR(__xludf.DUMMYFUNCTION("""COMPUTED_VALUE"""),38570.0)</f>
        <v>38570</v>
      </c>
      <c r="P65" s="16"/>
      <c r="Q65" s="16">
        <f>IFERROR(__xludf.DUMMYFUNCTION("""COMPUTED_VALUE"""),59643.0)</f>
        <v>59643</v>
      </c>
      <c r="R65" s="16">
        <f>IFERROR(__xludf.DUMMYFUNCTION("""COMPUTED_VALUE"""),18666.0)</f>
        <v>18666</v>
      </c>
      <c r="S65" s="16">
        <f>IFERROR(__xludf.DUMMYFUNCTION("""COMPUTED_VALUE"""),62167.0)</f>
        <v>62167</v>
      </c>
      <c r="T65" s="17">
        <v>343830.0</v>
      </c>
      <c r="U65" s="10"/>
      <c r="V65" s="18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>
      <c r="A66" s="14"/>
      <c r="B66" s="15" t="str">
        <f>IFERROR(__xludf.DUMMYFUNCTION("""COMPUTED_VALUE"""),"2022 Q4")</f>
        <v>2022 Q4</v>
      </c>
      <c r="C66" s="16">
        <f>IFERROR(__xludf.DUMMYFUNCTION("""COMPUTED_VALUE"""),148664.0)</f>
        <v>148664</v>
      </c>
      <c r="D66" s="16">
        <f>IFERROR(__xludf.DUMMYFUNCTION("""COMPUTED_VALUE"""),93837.0)</f>
        <v>93837</v>
      </c>
      <c r="E66" s="16">
        <f>IFERROR(__xludf.DUMMYFUNCTION("""COMPUTED_VALUE"""),162777.0)</f>
        <v>162777</v>
      </c>
      <c r="F66" s="17">
        <v>405278.0</v>
      </c>
      <c r="G66" s="14"/>
      <c r="H66" s="15" t="str">
        <f>IFERROR(__xludf.DUMMYFUNCTION("""COMPUTED_VALUE"""),"2022 Q4")</f>
        <v>2022 Q4</v>
      </c>
      <c r="I66" s="16"/>
      <c r="J66" s="16">
        <f>IFERROR(__xludf.DUMMYFUNCTION("""COMPUTED_VALUE"""),34517.0)</f>
        <v>34517</v>
      </c>
      <c r="K66" s="16">
        <f>IFERROR(__xludf.DUMMYFUNCTION("""COMPUTED_VALUE"""),255.0)</f>
        <v>255</v>
      </c>
      <c r="L66" s="16">
        <f>IFERROR(__xludf.DUMMYFUNCTION("""COMPUTED_VALUE"""),113892.0)</f>
        <v>113892</v>
      </c>
      <c r="M66" s="16">
        <f>IFERROR(__xludf.DUMMYFUNCTION("""COMPUTED_VALUE"""),36480.0)</f>
        <v>36480</v>
      </c>
      <c r="N66" s="16">
        <f>IFERROR(__xludf.DUMMYFUNCTION("""COMPUTED_VALUE"""),2884.0)</f>
        <v>2884</v>
      </c>
      <c r="O66" s="16">
        <f>IFERROR(__xludf.DUMMYFUNCTION("""COMPUTED_VALUE"""),54473.0)</f>
        <v>54473</v>
      </c>
      <c r="P66" s="16"/>
      <c r="Q66" s="16">
        <f>IFERROR(__xludf.DUMMYFUNCTION("""COMPUTED_VALUE"""),58894.0)</f>
        <v>58894</v>
      </c>
      <c r="R66" s="16">
        <f>IFERROR(__xludf.DUMMYFUNCTION("""COMPUTED_VALUE"""),14008.0)</f>
        <v>14008</v>
      </c>
      <c r="S66" s="16">
        <f>IFERROR(__xludf.DUMMYFUNCTION("""COMPUTED_VALUE"""),89875.0)</f>
        <v>89875</v>
      </c>
      <c r="T66" s="17">
        <v>405278.0</v>
      </c>
      <c r="U66" s="10"/>
      <c r="V66" s="18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>
      <c r="A67" s="14"/>
      <c r="B67" s="15" t="str">
        <f>IFERROR(__xludf.DUMMYFUNCTION("""COMPUTED_VALUE"""),"2023 Q1")</f>
        <v>2023 Q1</v>
      </c>
      <c r="C67" s="16">
        <f>IFERROR(__xludf.DUMMYFUNCTION("""COMPUTED_VALUE"""),163813.0)</f>
        <v>163813</v>
      </c>
      <c r="D67" s="16">
        <f>IFERROR(__xludf.DUMMYFUNCTION("""COMPUTED_VALUE"""),94242.0)</f>
        <v>94242</v>
      </c>
      <c r="E67" s="16">
        <f>IFERROR(__xludf.DUMMYFUNCTION("""COMPUTED_VALUE"""),164820.0)</f>
        <v>164820</v>
      </c>
      <c r="F67" s="17">
        <v>422875.0</v>
      </c>
      <c r="G67" s="14"/>
      <c r="H67" s="15" t="str">
        <f>IFERROR(__xludf.DUMMYFUNCTION("""COMPUTED_VALUE"""),"2023 Q1")</f>
        <v>2023 Q1</v>
      </c>
      <c r="I67" s="16"/>
      <c r="J67" s="16">
        <f>IFERROR(__xludf.DUMMYFUNCTION("""COMPUTED_VALUE"""),54109.0)</f>
        <v>54109</v>
      </c>
      <c r="K67" s="16">
        <f>IFERROR(__xludf.DUMMYFUNCTION("""COMPUTED_VALUE"""),601.0)</f>
        <v>601</v>
      </c>
      <c r="L67" s="16">
        <f>IFERROR(__xludf.DUMMYFUNCTION("""COMPUTED_VALUE"""),109103.0)</f>
        <v>109103</v>
      </c>
      <c r="M67" s="16">
        <f>IFERROR(__xludf.DUMMYFUNCTION("""COMPUTED_VALUE"""),18777.0)</f>
        <v>18777</v>
      </c>
      <c r="N67" s="16">
        <f>IFERROR(__xludf.DUMMYFUNCTION("""COMPUTED_VALUE"""),2083.0)</f>
        <v>2083</v>
      </c>
      <c r="O67" s="16">
        <f>IFERROR(__xludf.DUMMYFUNCTION("""COMPUTED_VALUE"""),73382.0)</f>
        <v>73382</v>
      </c>
      <c r="P67" s="16"/>
      <c r="Q67" s="16">
        <f>IFERROR(__xludf.DUMMYFUNCTION("""COMPUTED_VALUE"""),60929.0)</f>
        <v>60929</v>
      </c>
      <c r="R67" s="16">
        <f>IFERROR(__xludf.DUMMYFUNCTION("""COMPUTED_VALUE"""),8011.0)</f>
        <v>8011</v>
      </c>
      <c r="S67" s="16">
        <f>IFERROR(__xludf.DUMMYFUNCTION("""COMPUTED_VALUE"""),95880.0)</f>
        <v>95880</v>
      </c>
      <c r="T67" s="17">
        <v>422875.0</v>
      </c>
      <c r="U67" s="10"/>
      <c r="V67" s="18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>
      <c r="A68" s="14"/>
      <c r="B68" s="15" t="str">
        <f>IFERROR(__xludf.DUMMYFUNCTION("""COMPUTED_VALUE"""),"2023 Q2")</f>
        <v>2023 Q2</v>
      </c>
      <c r="C68" s="16">
        <f>IFERROR(__xludf.DUMMYFUNCTION("""COMPUTED_VALUE"""),193676.0)</f>
        <v>193676</v>
      </c>
      <c r="D68" s="16">
        <f>IFERROR(__xludf.DUMMYFUNCTION("""COMPUTED_VALUE"""),92196.0)</f>
        <v>92196</v>
      </c>
      <c r="E68" s="16">
        <f>IFERROR(__xludf.DUMMYFUNCTION("""COMPUTED_VALUE"""),180268.0)</f>
        <v>180268</v>
      </c>
      <c r="F68" s="17">
        <v>466140.0</v>
      </c>
      <c r="G68" s="14"/>
      <c r="H68" s="15" t="str">
        <f>IFERROR(__xludf.DUMMYFUNCTION("""COMPUTED_VALUE"""),"2023 Q2")</f>
        <v>2023 Q2</v>
      </c>
      <c r="I68" s="16"/>
      <c r="J68" s="16">
        <f>IFERROR(__xludf.DUMMYFUNCTION("""COMPUTED_VALUE"""),55908.0)</f>
        <v>55908</v>
      </c>
      <c r="K68" s="16">
        <f>IFERROR(__xludf.DUMMYFUNCTION("""COMPUTED_VALUE"""),5123.0)</f>
        <v>5123</v>
      </c>
      <c r="L68" s="16">
        <f>IFERROR(__xludf.DUMMYFUNCTION("""COMPUTED_VALUE"""),132645.0)</f>
        <v>132645</v>
      </c>
      <c r="M68" s="16">
        <f>IFERROR(__xludf.DUMMYFUNCTION("""COMPUTED_VALUE"""),23182.0)</f>
        <v>23182</v>
      </c>
      <c r="N68" s="16">
        <f>IFERROR(__xludf.DUMMYFUNCTION("""COMPUTED_VALUE"""),3502.0)</f>
        <v>3502</v>
      </c>
      <c r="O68" s="16">
        <f>IFERROR(__xludf.DUMMYFUNCTION("""COMPUTED_VALUE"""),65512.0)</f>
        <v>65512</v>
      </c>
      <c r="P68" s="16"/>
      <c r="Q68" s="16">
        <f>IFERROR(__xludf.DUMMYFUNCTION("""COMPUTED_VALUE"""),63613.0)</f>
        <v>63613</v>
      </c>
      <c r="R68" s="16">
        <f>IFERROR(__xludf.DUMMYFUNCTION("""COMPUTED_VALUE"""),10600.0)</f>
        <v>10600</v>
      </c>
      <c r="S68" s="16">
        <f>IFERROR(__xludf.DUMMYFUNCTION("""COMPUTED_VALUE"""),106055.0)</f>
        <v>106055</v>
      </c>
      <c r="T68" s="17">
        <v>466140.0</v>
      </c>
      <c r="U68" s="10"/>
      <c r="V68" s="18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>
      <c r="A69" s="14"/>
      <c r="B69" s="15" t="str">
        <f>IFERROR(__xludf.DUMMYFUNCTION("""COMPUTED_VALUE"""),"2023 Q3")</f>
        <v>2023 Q3</v>
      </c>
      <c r="C69" s="16">
        <f>IFERROR(__xludf.DUMMYFUNCTION("""COMPUTED_VALUE"""),181071.0)</f>
        <v>181071</v>
      </c>
      <c r="D69" s="16">
        <f>IFERROR(__xludf.DUMMYFUNCTION("""COMPUTED_VALUE"""),85581.0)</f>
        <v>85581</v>
      </c>
      <c r="E69" s="16">
        <f>IFERROR(__xludf.DUMMYFUNCTION("""COMPUTED_VALUE"""),168407.0)</f>
        <v>168407</v>
      </c>
      <c r="F69" s="17">
        <v>435059.0</v>
      </c>
      <c r="G69" s="14"/>
      <c r="H69" s="15" t="str">
        <f>IFERROR(__xludf.DUMMYFUNCTION("""COMPUTED_VALUE"""),"2023 Q3")</f>
        <v>2023 Q3</v>
      </c>
      <c r="I69" s="16"/>
      <c r="J69" s="16">
        <f>IFERROR(__xludf.DUMMYFUNCTION("""COMPUTED_VALUE"""),29288.0)</f>
        <v>29288</v>
      </c>
      <c r="K69" s="16">
        <f>IFERROR(__xludf.DUMMYFUNCTION("""COMPUTED_VALUE"""),3290.0)</f>
        <v>3290</v>
      </c>
      <c r="L69" s="16">
        <f>IFERROR(__xludf.DUMMYFUNCTION("""COMPUTED_VALUE"""),148493.0)</f>
        <v>148493</v>
      </c>
      <c r="M69" s="16">
        <f>IFERROR(__xludf.DUMMYFUNCTION("""COMPUTED_VALUE"""),21628.0)</f>
        <v>21628</v>
      </c>
      <c r="N69" s="16">
        <f>IFERROR(__xludf.DUMMYFUNCTION("""COMPUTED_VALUE"""),1554.0)</f>
        <v>1554</v>
      </c>
      <c r="O69" s="16">
        <f>IFERROR(__xludf.DUMMYFUNCTION("""COMPUTED_VALUE"""),62399.0)</f>
        <v>62399</v>
      </c>
      <c r="P69" s="16">
        <f>IFERROR(__xludf.DUMMYFUNCTION("""COMPUTED_VALUE"""),0.0)</f>
        <v>0</v>
      </c>
      <c r="Q69" s="16">
        <f>IFERROR(__xludf.DUMMYFUNCTION("""COMPUTED_VALUE"""),59203.0)</f>
        <v>59203</v>
      </c>
      <c r="R69" s="16">
        <f>IFERROR(__xludf.DUMMYFUNCTION("""COMPUTED_VALUE"""),11141.0)</f>
        <v>11141</v>
      </c>
      <c r="S69" s="16">
        <f>IFERROR(__xludf.DUMMYFUNCTION("""COMPUTED_VALUE"""),98063.0)</f>
        <v>98063</v>
      </c>
      <c r="T69" s="17">
        <v>435059.0</v>
      </c>
      <c r="U69" s="10"/>
      <c r="V69" s="18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>
      <c r="A70" s="14"/>
      <c r="B70" s="15" t="str">
        <f>IFERROR(__xludf.DUMMYFUNCTION("""COMPUTED_VALUE"""),"2023 Q4")</f>
        <v>2023 Q4</v>
      </c>
      <c r="C70" s="16">
        <f>IFERROR(__xludf.DUMMYFUNCTION("""COMPUTED_VALUE"""),204989.0)</f>
        <v>204989</v>
      </c>
      <c r="D70" s="16">
        <f>IFERROR(__xludf.DUMMYFUNCTION("""COMPUTED_VALUE"""),93152.0)</f>
        <v>93152</v>
      </c>
      <c r="E70" s="16">
        <f>IFERROR(__xludf.DUMMYFUNCTION("""COMPUTED_VALUE"""),186366.0)</f>
        <v>186366</v>
      </c>
      <c r="F70" s="17">
        <v>484507.0</v>
      </c>
      <c r="G70" s="14"/>
      <c r="H70" s="15" t="str">
        <f>IFERROR(__xludf.DUMMYFUNCTION("""COMPUTED_VALUE"""),"2023 Q4")</f>
        <v>2023 Q4</v>
      </c>
      <c r="I70" s="16"/>
      <c r="J70" s="16">
        <f>IFERROR(__xludf.DUMMYFUNCTION("""COMPUTED_VALUE"""),42402.0)</f>
        <v>42402</v>
      </c>
      <c r="K70" s="16">
        <f>IFERROR(__xludf.DUMMYFUNCTION("""COMPUTED_VALUE"""),3205.0)</f>
        <v>3205</v>
      </c>
      <c r="L70" s="16">
        <f>IFERROR(__xludf.DUMMYFUNCTION("""COMPUTED_VALUE"""),159382.0)</f>
        <v>159382</v>
      </c>
      <c r="M70" s="16">
        <f>IFERROR(__xludf.DUMMYFUNCTION("""COMPUTED_VALUE"""),37345.0)</f>
        <v>37345</v>
      </c>
      <c r="N70" s="16">
        <f>IFERROR(__xludf.DUMMYFUNCTION("""COMPUTED_VALUE"""),1915.0)</f>
        <v>1915</v>
      </c>
      <c r="O70" s="16">
        <f>IFERROR(__xludf.DUMMYFUNCTION("""COMPUTED_VALUE"""),53892.0)</f>
        <v>53892</v>
      </c>
      <c r="P70" s="16">
        <f>IFERROR(__xludf.DUMMYFUNCTION("""COMPUTED_VALUE"""),124.0)</f>
        <v>124</v>
      </c>
      <c r="Q70" s="16">
        <f>IFERROR(__xludf.DUMMYFUNCTION("""COMPUTED_VALUE"""),53980.0)</f>
        <v>53980</v>
      </c>
      <c r="R70" s="16">
        <f>IFERROR(__xludf.DUMMYFUNCTION("""COMPUTED_VALUE"""),17725.0)</f>
        <v>17725</v>
      </c>
      <c r="S70" s="16">
        <f>IFERROR(__xludf.DUMMYFUNCTION("""COMPUTED_VALUE"""),114537.0)</f>
        <v>114537</v>
      </c>
      <c r="T70" s="17">
        <v>484507.0</v>
      </c>
      <c r="U70" s="10"/>
      <c r="V70" s="18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>
      <c r="A71" s="14"/>
      <c r="B71" s="15" t="str">
        <f>IFERROR(__xludf.DUMMYFUNCTION("""COMPUTED_VALUE"""),"2024 Q1")</f>
        <v>2024 Q1</v>
      </c>
      <c r="C71" s="16">
        <f>IFERROR(__xludf.DUMMYFUNCTION("""COMPUTED_VALUE"""),166550.0)</f>
        <v>166550</v>
      </c>
      <c r="D71" s="16">
        <f>IFERROR(__xludf.DUMMYFUNCTION("""COMPUTED_VALUE"""),85820.0)</f>
        <v>85820</v>
      </c>
      <c r="E71" s="16">
        <f>IFERROR(__xludf.DUMMYFUNCTION("""COMPUTED_VALUE"""),134440.0)</f>
        <v>134440</v>
      </c>
      <c r="F71" s="17">
        <v>386810.0</v>
      </c>
      <c r="G71" s="14"/>
      <c r="H71" s="15" t="str">
        <f>IFERROR(__xludf.DUMMYFUNCTION("""COMPUTED_VALUE"""),"2024 Q1")</f>
        <v>2024 Q1</v>
      </c>
      <c r="I71" s="16"/>
      <c r="J71" s="16">
        <f>IFERROR(__xludf.DUMMYFUNCTION("""COMPUTED_VALUE"""),44553.0)</f>
        <v>44553</v>
      </c>
      <c r="K71" s="16">
        <f>IFERROR(__xludf.DUMMYFUNCTION("""COMPUTED_VALUE"""),1420.0)</f>
        <v>1420</v>
      </c>
      <c r="L71" s="16">
        <f>IFERROR(__xludf.DUMMYFUNCTION("""COMPUTED_VALUE"""),120577.0)</f>
        <v>120577</v>
      </c>
      <c r="M71" s="16">
        <f>IFERROR(__xludf.DUMMYFUNCTION("""COMPUTED_VALUE"""),24490.0)</f>
        <v>24490</v>
      </c>
      <c r="N71" s="16">
        <f>IFERROR(__xludf.DUMMYFUNCTION("""COMPUTED_VALUE"""),1149.0)</f>
        <v>1149</v>
      </c>
      <c r="O71" s="16">
        <f>IFERROR(__xludf.DUMMYFUNCTION("""COMPUTED_VALUE"""),60181.0)</f>
        <v>60181</v>
      </c>
      <c r="P71" s="16">
        <f>IFERROR(__xludf.DUMMYFUNCTION("""COMPUTED_VALUE"""),2600.0)</f>
        <v>2600</v>
      </c>
      <c r="Q71" s="16">
        <f>IFERROR(__xludf.DUMMYFUNCTION("""COMPUTED_VALUE"""),25326.0)</f>
        <v>25326</v>
      </c>
      <c r="R71" s="16">
        <f>IFERROR(__xludf.DUMMYFUNCTION("""COMPUTED_VALUE"""),11858.0)</f>
        <v>11858</v>
      </c>
      <c r="S71" s="16">
        <f>IFERROR(__xludf.DUMMYFUNCTION("""COMPUTED_VALUE"""),94656.0)</f>
        <v>94656</v>
      </c>
      <c r="T71" s="17">
        <v>386810.0</v>
      </c>
      <c r="U71" s="10"/>
      <c r="V71" s="18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>
      <c r="A72" s="14"/>
      <c r="B72" s="15" t="str">
        <f>IFERROR(__xludf.DUMMYFUNCTION("""COMPUTED_VALUE"""),"2024 Q2")</f>
        <v>2024 Q2</v>
      </c>
      <c r="C72" s="16">
        <f>IFERROR(__xludf.DUMMYFUNCTION("""COMPUTED_VALUE"""),186252.0)</f>
        <v>186252</v>
      </c>
      <c r="D72" s="16">
        <f>IFERROR(__xludf.DUMMYFUNCTION("""COMPUTED_VALUE"""),78417.0)</f>
        <v>78417</v>
      </c>
      <c r="E72" s="16">
        <f>IFERROR(__xludf.DUMMYFUNCTION("""COMPUTED_VALUE"""),179287.0)</f>
        <v>179287</v>
      </c>
      <c r="F72" s="17">
        <v>443956.0</v>
      </c>
      <c r="G72" s="14"/>
      <c r="H72" s="15" t="str">
        <f>IFERROR(__xludf.DUMMYFUNCTION("""COMPUTED_VALUE"""),"2024 Q2")</f>
        <v>2024 Q2</v>
      </c>
      <c r="I72" s="16"/>
      <c r="J72" s="16">
        <f>IFERROR(__xludf.DUMMYFUNCTION("""COMPUTED_VALUE"""),57137.0)</f>
        <v>57137</v>
      </c>
      <c r="K72" s="16">
        <f>IFERROR(__xludf.DUMMYFUNCTION("""COMPUTED_VALUE"""),1381.0)</f>
        <v>1381</v>
      </c>
      <c r="L72" s="16">
        <f>IFERROR(__xludf.DUMMYFUNCTION("""COMPUTED_VALUE"""),127734.0)</f>
        <v>127734</v>
      </c>
      <c r="M72" s="16">
        <f>IFERROR(__xludf.DUMMYFUNCTION("""COMPUTED_VALUE"""),31655.0)</f>
        <v>31655</v>
      </c>
      <c r="N72" s="16">
        <f>IFERROR(__xludf.DUMMYFUNCTION("""COMPUTED_VALUE"""),715.0)</f>
        <v>715</v>
      </c>
      <c r="O72" s="16">
        <f>IFERROR(__xludf.DUMMYFUNCTION("""COMPUTED_VALUE"""),46047.0)</f>
        <v>46047</v>
      </c>
      <c r="P72" s="16">
        <f>IFERROR(__xludf.DUMMYFUNCTION("""COMPUTED_VALUE"""),10100.0)</f>
        <v>10100</v>
      </c>
      <c r="Q72" s="16">
        <f>IFERROR(__xludf.DUMMYFUNCTION("""COMPUTED_VALUE"""),47680.0)</f>
        <v>47680</v>
      </c>
      <c r="R72" s="16">
        <f>IFERROR(__xludf.DUMMYFUNCTION("""COMPUTED_VALUE"""),9355.0)</f>
        <v>9355</v>
      </c>
      <c r="S72" s="16">
        <f>IFERROR(__xludf.DUMMYFUNCTION("""COMPUTED_VALUE"""),112152.0)</f>
        <v>112152</v>
      </c>
      <c r="T72" s="17">
        <v>443956.0</v>
      </c>
      <c r="U72" s="10"/>
      <c r="V72" s="18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>
      <c r="A73" s="14"/>
      <c r="B73" s="15" t="str">
        <f>IFERROR(__xludf.DUMMYFUNCTION("""COMPUTED_VALUE"""),"2024 Q3")</f>
        <v>2024 Q3</v>
      </c>
      <c r="C73" s="16">
        <f>IFERROR(__xludf.DUMMYFUNCTION("""COMPUTED_VALUE"""),214634.0)</f>
        <v>214634</v>
      </c>
      <c r="D73" s="16">
        <f>IFERROR(__xludf.DUMMYFUNCTION("""COMPUTED_VALUE"""),78279.0)</f>
        <v>78279</v>
      </c>
      <c r="E73" s="16">
        <f>IFERROR(__xludf.DUMMYFUNCTION("""COMPUTED_VALUE"""),169977.0)</f>
        <v>169977</v>
      </c>
      <c r="F73" s="17">
        <v>462890.0</v>
      </c>
      <c r="G73" s="14"/>
      <c r="H73" s="15" t="str">
        <f>IFERROR(__xludf.DUMMYFUNCTION("""COMPUTED_VALUE"""),"2024 Q3")</f>
        <v>2024 Q3</v>
      </c>
      <c r="I73" s="16"/>
      <c r="J73" s="16">
        <f>IFERROR(__xludf.DUMMYFUNCTION("""COMPUTED_VALUE"""),65711.0)</f>
        <v>65711</v>
      </c>
      <c r="K73" s="16">
        <f>IFERROR(__xludf.DUMMYFUNCTION("""COMPUTED_VALUE"""),782.0)</f>
        <v>782</v>
      </c>
      <c r="L73" s="16">
        <f>IFERROR(__xludf.DUMMYFUNCTION("""COMPUTED_VALUE"""),148141.0)</f>
        <v>148141</v>
      </c>
      <c r="M73" s="16">
        <f>IFERROR(__xludf.DUMMYFUNCTION("""COMPUTED_VALUE"""),23471.0)</f>
        <v>23471</v>
      </c>
      <c r="N73" s="16">
        <f>IFERROR(__xludf.DUMMYFUNCTION("""COMPUTED_VALUE"""),967.0)</f>
        <v>967</v>
      </c>
      <c r="O73" s="16">
        <f>IFERROR(__xludf.DUMMYFUNCTION("""COMPUTED_VALUE"""),53841.0)</f>
        <v>53841</v>
      </c>
      <c r="P73" s="16">
        <f>IFERROR(__xludf.DUMMYFUNCTION("""COMPUTED_VALUE"""),14000.0)</f>
        <v>14000</v>
      </c>
      <c r="Q73" s="16">
        <f>IFERROR(__xludf.DUMMYFUNCTION("""COMPUTED_VALUE"""),55197.0)</f>
        <v>55197</v>
      </c>
      <c r="R73" s="16">
        <f>IFERROR(__xludf.DUMMYFUNCTION("""COMPUTED_VALUE"""),7166.0)</f>
        <v>7166</v>
      </c>
      <c r="S73" s="16">
        <f>IFERROR(__xludf.DUMMYFUNCTION("""COMPUTED_VALUE"""),93614.0)</f>
        <v>93614</v>
      </c>
      <c r="T73" s="17">
        <v>462890.0</v>
      </c>
      <c r="U73" s="10"/>
      <c r="V73" s="18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>
      <c r="A74" s="14"/>
      <c r="B74" s="15" t="str">
        <f>IFERROR(__xludf.DUMMYFUNCTION("""COMPUTED_VALUE"""),"2024 Q4")</f>
        <v>2024 Q4</v>
      </c>
      <c r="C74" s="16">
        <f>IFERROR(__xludf.DUMMYFUNCTION("""COMPUTED_VALUE"""),230231.0)</f>
        <v>230231</v>
      </c>
      <c r="D74" s="16">
        <f>IFERROR(__xludf.DUMMYFUNCTION("""COMPUTED_VALUE"""),83473.0)</f>
        <v>83473</v>
      </c>
      <c r="E74" s="16">
        <f>IFERROR(__xludf.DUMMYFUNCTION("""COMPUTED_VALUE"""),181866.0)</f>
        <v>181866</v>
      </c>
      <c r="F74" s="17">
        <v>495570.0</v>
      </c>
      <c r="G74" s="14"/>
      <c r="H74" s="15" t="str">
        <f>IFERROR(__xludf.DUMMYFUNCTION("""COMPUTED_VALUE"""),"2024 Q4")</f>
        <v>2024 Q4</v>
      </c>
      <c r="I74" s="16"/>
      <c r="J74" s="16">
        <f>IFERROR(__xludf.DUMMYFUNCTION("""COMPUTED_VALUE"""),65892.0)</f>
        <v>65892</v>
      </c>
      <c r="K74" s="16">
        <f>IFERROR(__xludf.DUMMYFUNCTION("""COMPUTED_VALUE"""),1024.0)</f>
        <v>1024</v>
      </c>
      <c r="L74" s="16">
        <f>IFERROR(__xludf.DUMMYFUNCTION("""COMPUTED_VALUE"""),163315.0)</f>
        <v>163315</v>
      </c>
      <c r="M74" s="16">
        <f>IFERROR(__xludf.DUMMYFUNCTION("""COMPUTED_VALUE"""),25622.0)</f>
        <v>25622</v>
      </c>
      <c r="N74" s="16">
        <f>IFERROR(__xludf.DUMMYFUNCTION("""COMPUTED_VALUE"""),540.0)</f>
        <v>540</v>
      </c>
      <c r="O74" s="16">
        <f>IFERROR(__xludf.DUMMYFUNCTION("""COMPUTED_VALUE"""),57311.0)</f>
        <v>57311</v>
      </c>
      <c r="P74" s="16">
        <f>IFERROR(__xludf.DUMMYFUNCTION("""COMPUTED_VALUE"""),14040.0)</f>
        <v>14040</v>
      </c>
      <c r="Q74" s="16">
        <f>IFERROR(__xludf.DUMMYFUNCTION("""COMPUTED_VALUE"""),58012.0)</f>
        <v>58012</v>
      </c>
      <c r="R74" s="16">
        <f>IFERROR(__xludf.DUMMYFUNCTION("""COMPUTED_VALUE"""),8036.0)</f>
        <v>8036</v>
      </c>
      <c r="S74" s="16">
        <f>IFERROR(__xludf.DUMMYFUNCTION("""COMPUTED_VALUE"""),101778.0)</f>
        <v>101778</v>
      </c>
      <c r="T74" s="17">
        <v>495570.0</v>
      </c>
      <c r="U74" s="10"/>
      <c r="V74" s="18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>
      <c r="A75" s="14"/>
      <c r="B75" s="15" t="str">
        <f>IFERROR(__xludf.DUMMYFUNCTION("""COMPUTED_VALUE"""),"2025 Q1")</f>
        <v>2025 Q1</v>
      </c>
      <c r="C75" s="16">
        <f>IFERROR(__xludf.DUMMYFUNCTION("""COMPUTED_VALUE"""),158339.0)</f>
        <v>158339</v>
      </c>
      <c r="D75" s="16">
        <f>IFERROR(__xludf.DUMMYFUNCTION("""COMPUTED_VALUE"""),53952.0)</f>
        <v>53952</v>
      </c>
      <c r="E75" s="16">
        <f>IFERROR(__xludf.DUMMYFUNCTION("""COMPUTED_VALUE"""),124390.0)</f>
        <v>124390</v>
      </c>
      <c r="F75" s="17">
        <v>336681.0</v>
      </c>
      <c r="G75" s="14"/>
      <c r="H75" s="15" t="str">
        <f>IFERROR(__xludf.DUMMYFUNCTION("""COMPUTED_VALUE"""),"2025 Q1")</f>
        <v>2025 Q1</v>
      </c>
      <c r="I75" s="16"/>
      <c r="J75" s="16">
        <f>IFERROR(__xludf.DUMMYFUNCTION("""COMPUTED_VALUE"""),62645.0)</f>
        <v>62645</v>
      </c>
      <c r="K75" s="16">
        <f>IFERROR(__xludf.DUMMYFUNCTION("""COMPUTED_VALUE"""),670.0)</f>
        <v>670</v>
      </c>
      <c r="L75" s="16">
        <f>IFERROR(__xludf.DUMMYFUNCTION("""COMPUTED_VALUE"""),95024.0)</f>
        <v>95024</v>
      </c>
      <c r="M75" s="16">
        <f>IFERROR(__xludf.DUMMYFUNCTION("""COMPUTED_VALUE"""),21857.0)</f>
        <v>21857</v>
      </c>
      <c r="N75" s="16">
        <f>IFERROR(__xludf.DUMMYFUNCTION("""COMPUTED_VALUE"""),400.0)</f>
        <v>400</v>
      </c>
      <c r="O75" s="16">
        <f>IFERROR(__xludf.DUMMYFUNCTION("""COMPUTED_VALUE"""),31695.0)</f>
        <v>31695</v>
      </c>
      <c r="P75" s="16">
        <f>IFERROR(__xludf.DUMMYFUNCTION("""COMPUTED_VALUE"""),5395.0)</f>
        <v>5395</v>
      </c>
      <c r="Q75" s="16">
        <f>IFERROR(__xludf.DUMMYFUNCTION("""COMPUTED_VALUE"""),51056.0)</f>
        <v>51056</v>
      </c>
      <c r="R75" s="16">
        <f>IFERROR(__xludf.DUMMYFUNCTION("""COMPUTED_VALUE"""),6416.0)</f>
        <v>6416</v>
      </c>
      <c r="S75" s="16">
        <f>IFERROR(__xludf.DUMMYFUNCTION("""COMPUTED_VALUE"""),61523.0)</f>
        <v>61523</v>
      </c>
      <c r="T75" s="17">
        <v>336681.0</v>
      </c>
      <c r="U75" s="10"/>
      <c r="V75" s="18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>
      <c r="A76" s="14"/>
      <c r="B76" s="15" t="str">
        <f>IFERROR(__xludf.DUMMYFUNCTION("""COMPUTED_VALUE"""),"2025 Q2")</f>
        <v>2025 Q2</v>
      </c>
      <c r="C76" s="16">
        <f>IFERROR(__xludf.DUMMYFUNCTION("""COMPUTED_VALUE"""),176121.0)</f>
        <v>176121</v>
      </c>
      <c r="D76" s="16">
        <f>IFERROR(__xludf.DUMMYFUNCTION("""COMPUTED_VALUE"""),55891.0)</f>
        <v>55891</v>
      </c>
      <c r="E76" s="16">
        <f>IFERROR(__xludf.DUMMYFUNCTION("""COMPUTED_VALUE"""),152110.0)</f>
        <v>152110</v>
      </c>
      <c r="F76" s="17">
        <v>384122.0</v>
      </c>
      <c r="G76" s="14"/>
      <c r="H76" s="15" t="str">
        <f>IFERROR(__xludf.DUMMYFUNCTION("""COMPUTED_VALUE"""),"2025 Q2")</f>
        <v>2025 Q2</v>
      </c>
      <c r="I76" s="16"/>
      <c r="J76" s="16">
        <f>IFERROR(__xludf.DUMMYFUNCTION("""COMPUTED_VALUE"""),45965.0)</f>
        <v>45965</v>
      </c>
      <c r="K76" s="16">
        <f>IFERROR(__xludf.DUMMYFUNCTION("""COMPUTED_VALUE"""),329.0)</f>
        <v>329</v>
      </c>
      <c r="L76" s="16">
        <f>IFERROR(__xludf.DUMMYFUNCTION("""COMPUTED_VALUE"""),129827.0)</f>
        <v>129827</v>
      </c>
      <c r="M76" s="16">
        <f>IFERROR(__xludf.DUMMYFUNCTION("""COMPUTED_VALUE"""),16583.0)</f>
        <v>16583</v>
      </c>
      <c r="N76" s="16">
        <f>IFERROR(__xludf.DUMMYFUNCTION("""COMPUTED_VALUE"""),163.0)</f>
        <v>163</v>
      </c>
      <c r="O76" s="16">
        <f>IFERROR(__xludf.DUMMYFUNCTION("""COMPUTED_VALUE"""),39145.0)</f>
        <v>39145</v>
      </c>
      <c r="P76" s="16">
        <f>IFERROR(__xludf.DUMMYFUNCTION("""COMPUTED_VALUE"""),5390.0)</f>
        <v>5390</v>
      </c>
      <c r="Q76" s="16">
        <f>IFERROR(__xludf.DUMMYFUNCTION("""COMPUTED_VALUE"""),49872.0)</f>
        <v>49872</v>
      </c>
      <c r="R76" s="16">
        <f>IFERROR(__xludf.DUMMYFUNCTION("""COMPUTED_VALUE"""),4512.0)</f>
        <v>4512</v>
      </c>
      <c r="S76" s="16">
        <f>IFERROR(__xludf.DUMMYFUNCTION("""COMPUTED_VALUE"""),92336.0)</f>
        <v>92336</v>
      </c>
      <c r="T76" s="17">
        <v>384122.0</v>
      </c>
      <c r="U76" s="10"/>
      <c r="V76" s="18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>
      <c r="A77" s="14"/>
      <c r="B77" s="15" t="str">
        <f>IFERROR(__xludf.DUMMYFUNCTION("""COMPUTED_VALUE"""),"2025 Q3")</f>
        <v>2025 Q3</v>
      </c>
      <c r="C77" s="16">
        <f>IFERROR(__xludf.DUMMYFUNCTION("""COMPUTED_VALUE"""),236410.0)</f>
        <v>236410</v>
      </c>
      <c r="D77" s="16">
        <f>IFERROR(__xludf.DUMMYFUNCTION("""COMPUTED_VALUE"""),63535.0)</f>
        <v>63535</v>
      </c>
      <c r="E77" s="16">
        <f>IFERROR(__xludf.DUMMYFUNCTION("""COMPUTED_VALUE"""),197154.0)</f>
        <v>197154</v>
      </c>
      <c r="F77" s="17">
        <v>497099.0</v>
      </c>
      <c r="G77" s="14"/>
      <c r="H77" s="15" t="str">
        <f>IFERROR(__xludf.DUMMYFUNCTION("""COMPUTED_VALUE"""),"2025 Q3")</f>
        <v>2025 Q3</v>
      </c>
      <c r="I77" s="16"/>
      <c r="J77" s="16">
        <f>IFERROR(__xludf.DUMMYFUNCTION("""COMPUTED_VALUE"""),58080.0)</f>
        <v>58080</v>
      </c>
      <c r="K77" s="16">
        <f>IFERROR(__xludf.DUMMYFUNCTION("""COMPUTED_VALUE"""),224.0)</f>
        <v>224</v>
      </c>
      <c r="L77" s="16">
        <f>IFERROR(__xludf.DUMMYFUNCTION("""COMPUTED_VALUE"""),178106.0)</f>
        <v>178106</v>
      </c>
      <c r="M77" s="16">
        <f>IFERROR(__xludf.DUMMYFUNCTION("""COMPUTED_VALUE"""),21828.0)</f>
        <v>21828</v>
      </c>
      <c r="N77" s="16">
        <f>IFERROR(__xludf.DUMMYFUNCTION("""COMPUTED_VALUE"""),133.0)</f>
        <v>133</v>
      </c>
      <c r="O77" s="16">
        <f>IFERROR(__xludf.DUMMYFUNCTION("""COMPUTED_VALUE"""),41574.0)</f>
        <v>41574</v>
      </c>
      <c r="P77" s="16">
        <f>IFERROR(__xludf.DUMMYFUNCTION("""COMPUTED_VALUE"""),5780.0)</f>
        <v>5780</v>
      </c>
      <c r="Q77" s="16">
        <f>IFERROR(__xludf.DUMMYFUNCTION("""COMPUTED_VALUE"""),45057.0)</f>
        <v>45057</v>
      </c>
      <c r="R77" s="16">
        <f>IFERROR(__xludf.DUMMYFUNCTION("""COMPUTED_VALUE"""),9796.0)</f>
        <v>9796</v>
      </c>
      <c r="S77" s="16">
        <f>IFERROR(__xludf.DUMMYFUNCTION("""COMPUTED_VALUE"""),136521.0)</f>
        <v>136521</v>
      </c>
      <c r="T77" s="17">
        <v>497099.0</v>
      </c>
      <c r="U77" s="10"/>
      <c r="V77" s="18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>
      <c r="A78" s="14"/>
      <c r="B78" s="15" t="str">
        <f>IFERROR(__xludf.DUMMYFUNCTION("""COMPUTED_VALUE"""),"2025 Q4")</f>
        <v>2025 Q4</v>
      </c>
      <c r="C78" s="16">
        <f>IFERROR(__xludf.DUMMYFUNCTION("""COMPUTED_VALUE"""),240920.0)</f>
        <v>240920</v>
      </c>
      <c r="D78" s="16">
        <f>IFERROR(__xludf.DUMMYFUNCTION("""COMPUTED_VALUE"""),64904.0)</f>
        <v>64904</v>
      </c>
      <c r="E78" s="16">
        <f>IFERROR(__xludf.DUMMYFUNCTION("""COMPUTED_VALUE"""),112403.0)</f>
        <v>112403</v>
      </c>
      <c r="F78" s="17">
        <v>418227.0</v>
      </c>
      <c r="G78" s="14"/>
      <c r="H78" s="15" t="str">
        <f>IFERROR(__xludf.DUMMYFUNCTION("""COMPUTED_VALUE"""),"2025 Q4")</f>
        <v>2025 Q4</v>
      </c>
      <c r="I78" s="16">
        <f>IFERROR(__xludf.DUMMYFUNCTION("""COMPUTED_VALUE"""),356.0)</f>
        <v>356</v>
      </c>
      <c r="J78" s="16">
        <f>IFERROR(__xludf.DUMMYFUNCTION("""COMPUTED_VALUE"""),70742.0)</f>
        <v>70742</v>
      </c>
      <c r="K78" s="16">
        <f>IFERROR(__xludf.DUMMYFUNCTION("""COMPUTED_VALUE"""),543.0)</f>
        <v>543</v>
      </c>
      <c r="L78" s="16">
        <f>IFERROR(__xludf.DUMMYFUNCTION("""COMPUTED_VALUE"""),169279.0)</f>
        <v>169279</v>
      </c>
      <c r="M78" s="16">
        <f>IFERROR(__xludf.DUMMYFUNCTION("""COMPUTED_VALUE"""),23407.0)</f>
        <v>23407</v>
      </c>
      <c r="N78" s="16">
        <f>IFERROR(__xludf.DUMMYFUNCTION("""COMPUTED_VALUE"""),374.0)</f>
        <v>374</v>
      </c>
      <c r="O78" s="16">
        <f>IFERROR(__xludf.DUMMYFUNCTION("""COMPUTED_VALUE"""),41123.0)</f>
        <v>41123</v>
      </c>
      <c r="P78" s="16">
        <f>IFERROR(__xludf.DUMMYFUNCTION("""COMPUTED_VALUE"""),3900.0)</f>
        <v>3900</v>
      </c>
      <c r="Q78" s="16">
        <f>IFERROR(__xludf.DUMMYFUNCTION("""COMPUTED_VALUE"""),22276.0)</f>
        <v>22276</v>
      </c>
      <c r="R78" s="16">
        <f>IFERROR(__xludf.DUMMYFUNCTION("""COMPUTED_VALUE"""),6469.0)</f>
        <v>6469</v>
      </c>
      <c r="S78" s="16">
        <f>IFERROR(__xludf.DUMMYFUNCTION("""COMPUTED_VALUE"""),79758.0)</f>
        <v>79758</v>
      </c>
      <c r="T78" s="17">
        <v>418227.0</v>
      </c>
      <c r="U78" s="10"/>
      <c r="V78" s="18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>
      <c r="A79" s="14"/>
      <c r="B79" s="23" t="str">
        <f>IFERROR(__xludf.DUMMYFUNCTION("""COMPUTED_VALUE"""),"Total")</f>
        <v>Total</v>
      </c>
      <c r="C79" s="17">
        <f>IFERROR(__xludf.DUMMYFUNCTION("""COMPUTED_VALUE"""),3549278.0)</f>
        <v>3549278</v>
      </c>
      <c r="D79" s="17">
        <f>IFERROR(__xludf.DUMMYFUNCTION("""COMPUTED_VALUE"""),1646943.0)</f>
        <v>1646943</v>
      </c>
      <c r="E79" s="17">
        <f>IFERROR(__xludf.DUMMYFUNCTION("""COMPUTED_VALUE"""),3687503.0)</f>
        <v>3687503</v>
      </c>
      <c r="F79" s="17">
        <v>8883724.0</v>
      </c>
      <c r="G79" s="14"/>
      <c r="H79" s="23" t="str">
        <f>IFERROR(__xludf.DUMMYFUNCTION("""COMPUTED_VALUE"""),"Total")</f>
        <v>Total</v>
      </c>
      <c r="I79" s="17">
        <f>IFERROR(__xludf.DUMMYFUNCTION("""COMPUTED_VALUE"""),356.0)</f>
        <v>356</v>
      </c>
      <c r="J79" s="17">
        <f>IFERROR(__xludf.DUMMYFUNCTION("""COMPUTED_VALUE"""),1218426.0)</f>
        <v>1218426</v>
      </c>
      <c r="K79" s="17">
        <f>IFERROR(__xludf.DUMMYFUNCTION("""COMPUTED_VALUE"""),108663.0)</f>
        <v>108663</v>
      </c>
      <c r="L79" s="17">
        <f>IFERROR(__xludf.DUMMYFUNCTION("""COMPUTED_VALUE"""),2221833.0)</f>
        <v>2221833</v>
      </c>
      <c r="M79" s="17">
        <f>IFERROR(__xludf.DUMMYFUNCTION("""COMPUTED_VALUE"""),709725.0)</f>
        <v>709725</v>
      </c>
      <c r="N79" s="17">
        <f>IFERROR(__xludf.DUMMYFUNCTION("""COMPUTED_VALUE"""),147042.0)</f>
        <v>147042</v>
      </c>
      <c r="O79" s="17">
        <f>IFERROR(__xludf.DUMMYFUNCTION("""COMPUTED_VALUE"""),790176.0)</f>
        <v>790176</v>
      </c>
      <c r="P79" s="17">
        <f>IFERROR(__xludf.DUMMYFUNCTION("""COMPUTED_VALUE"""),61329.0)</f>
        <v>61329</v>
      </c>
      <c r="Q79" s="17">
        <f>IFERROR(__xludf.DUMMYFUNCTION("""COMPUTED_VALUE"""),1403614.0)</f>
        <v>1403614</v>
      </c>
      <c r="R79" s="17">
        <f>IFERROR(__xludf.DUMMYFUNCTION("""COMPUTED_VALUE"""),487601.0)</f>
        <v>487601</v>
      </c>
      <c r="S79" s="17">
        <f>IFERROR(__xludf.DUMMYFUNCTION("""COMPUTED_VALUE"""),1734959.0)</f>
        <v>1734959</v>
      </c>
      <c r="T79" s="17">
        <v>8883724.0</v>
      </c>
      <c r="U79" s="10"/>
      <c r="V79" s="18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>
      <c r="A80" s="14"/>
      <c r="B80" s="14"/>
      <c r="C80" s="14"/>
      <c r="D80" s="14"/>
      <c r="E80" s="14"/>
      <c r="F80" s="14"/>
      <c r="G80" s="14"/>
      <c r="H80" s="14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>
      <c r="A81" s="14"/>
      <c r="B81" s="14"/>
      <c r="C81" s="14"/>
      <c r="D81" s="14"/>
      <c r="E81" s="14"/>
      <c r="F81" s="14"/>
      <c r="G81" s="14"/>
      <c r="H81" s="14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>
      <c r="A82" s="14"/>
      <c r="B82" s="14"/>
      <c r="C82" s="14"/>
      <c r="D82" s="14"/>
      <c r="E82" s="14"/>
      <c r="F82" s="14"/>
      <c r="G82" s="14"/>
      <c r="H82" s="38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>
      <c r="A83" s="14"/>
      <c r="B83" s="19" t="s">
        <v>17</v>
      </c>
      <c r="C83" s="14"/>
      <c r="D83" s="14"/>
      <c r="E83" s="14"/>
      <c r="F83" s="14"/>
      <c r="G83" s="14"/>
      <c r="H83" s="14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>
      <c r="A84" s="14"/>
      <c r="B84" s="19" t="s">
        <v>4</v>
      </c>
      <c r="C84" s="14"/>
      <c r="D84" s="14"/>
      <c r="E84" s="14"/>
      <c r="F84" s="14"/>
      <c r="G84" s="14"/>
      <c r="H84" s="14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>
      <c r="A85" s="14"/>
      <c r="B85" s="19" t="s">
        <v>18</v>
      </c>
      <c r="C85" s="14"/>
      <c r="D85" s="14"/>
      <c r="E85" s="14"/>
      <c r="F85" s="14"/>
      <c r="G85" s="14"/>
      <c r="H85" s="14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>
      <c r="A86" s="14"/>
      <c r="B86" s="19" t="s">
        <v>5</v>
      </c>
      <c r="C86" s="14"/>
      <c r="D86" s="14"/>
      <c r="E86" s="14"/>
      <c r="F86" s="14"/>
      <c r="G86" s="14"/>
      <c r="H86" s="14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>
      <c r="A87" s="14"/>
      <c r="B87" s="19" t="s">
        <v>6</v>
      </c>
      <c r="C87" s="14"/>
      <c r="D87" s="14"/>
      <c r="E87" s="14"/>
      <c r="F87" s="14"/>
      <c r="G87" s="14"/>
      <c r="H87" s="14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>
      <c r="A88" s="14"/>
      <c r="B88" s="19" t="s">
        <v>7</v>
      </c>
      <c r="C88" s="14"/>
      <c r="D88" s="14"/>
      <c r="E88" s="14"/>
      <c r="F88" s="14"/>
      <c r="G88" s="14"/>
      <c r="H88" s="14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>
      <c r="A89" s="14"/>
      <c r="B89" s="19" t="s">
        <v>8</v>
      </c>
      <c r="C89" s="14"/>
      <c r="D89" s="14"/>
      <c r="E89" s="14"/>
      <c r="F89" s="14"/>
      <c r="G89" s="14"/>
      <c r="H89" s="14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>
      <c r="A90" s="14"/>
      <c r="B90" s="19" t="s">
        <v>9</v>
      </c>
      <c r="C90" s="14"/>
      <c r="D90" s="14"/>
      <c r="E90" s="14"/>
      <c r="F90" s="14"/>
      <c r="G90" s="14"/>
      <c r="H90" s="14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>
      <c r="A91" s="14"/>
      <c r="B91" s="19" t="s">
        <v>10</v>
      </c>
      <c r="C91" s="14"/>
      <c r="D91" s="14"/>
      <c r="E91" s="14"/>
      <c r="F91" s="14"/>
      <c r="G91" s="14"/>
      <c r="H91" s="14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>
      <c r="A92" s="14"/>
      <c r="B92" s="19" t="s">
        <v>11</v>
      </c>
      <c r="C92" s="14"/>
      <c r="D92" s="14"/>
      <c r="E92" s="14"/>
      <c r="F92" s="14"/>
      <c r="G92" s="14"/>
      <c r="H92" s="14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>
      <c r="A93" s="14"/>
      <c r="B93" s="19" t="s">
        <v>12</v>
      </c>
      <c r="C93" s="14"/>
      <c r="D93" s="14"/>
      <c r="E93" s="14"/>
      <c r="F93" s="14"/>
      <c r="G93" s="14"/>
      <c r="H93" s="14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>
      <c r="A94" s="14"/>
      <c r="B94" s="19" t="s">
        <v>13</v>
      </c>
      <c r="C94" s="14"/>
      <c r="D94" s="14"/>
      <c r="E94" s="14"/>
      <c r="F94" s="14"/>
      <c r="G94" s="14"/>
      <c r="H94" s="14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>
      <c r="A95" s="14"/>
      <c r="B95" s="19" t="s">
        <v>19</v>
      </c>
      <c r="C95" s="14"/>
      <c r="D95" s="14"/>
      <c r="E95" s="14"/>
      <c r="F95" s="14"/>
      <c r="G95" s="14"/>
      <c r="H95" s="14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>
      <c r="A96" s="14"/>
      <c r="B96" s="19" t="s">
        <v>15</v>
      </c>
      <c r="C96" s="14"/>
      <c r="D96" s="14"/>
      <c r="E96" s="14"/>
      <c r="F96" s="14"/>
      <c r="G96" s="14"/>
      <c r="H96" s="14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>
      <c r="A97" s="14"/>
      <c r="B97" s="14"/>
      <c r="C97" s="14"/>
      <c r="D97" s="14"/>
      <c r="E97" s="14"/>
      <c r="F97" s="14"/>
      <c r="G97" s="14"/>
      <c r="H97" s="14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>
      <c r="A98" s="14"/>
      <c r="B98" s="14"/>
      <c r="C98" s="14"/>
      <c r="D98" s="14"/>
      <c r="E98" s="14"/>
      <c r="F98" s="14"/>
      <c r="G98" s="14"/>
      <c r="H98" s="14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>
      <c r="A99" s="14"/>
      <c r="B99" s="14"/>
      <c r="C99" s="14"/>
      <c r="D99" s="14"/>
      <c r="E99" s="14"/>
      <c r="F99" s="14"/>
      <c r="G99" s="14"/>
      <c r="H99" s="14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>
      <c r="A100" s="14"/>
      <c r="B100" s="14"/>
      <c r="C100" s="14"/>
      <c r="D100" s="14"/>
      <c r="E100" s="14"/>
      <c r="F100" s="14"/>
      <c r="G100" s="14"/>
      <c r="H100" s="14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>
      <c r="A101" s="14"/>
      <c r="B101" s="14"/>
      <c r="C101" s="14"/>
      <c r="D101" s="14"/>
      <c r="E101" s="14"/>
      <c r="F101" s="14"/>
      <c r="G101" s="14"/>
      <c r="H101" s="14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>
      <c r="A102" s="14"/>
      <c r="B102" s="14"/>
      <c r="C102" s="14"/>
      <c r="D102" s="14"/>
      <c r="E102" s="14"/>
      <c r="F102" s="14"/>
      <c r="G102" s="14"/>
      <c r="H102" s="14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>
      <c r="A103" s="14"/>
      <c r="B103" s="14"/>
      <c r="C103" s="14"/>
      <c r="D103" s="14"/>
      <c r="E103" s="14"/>
      <c r="F103" s="14"/>
      <c r="G103" s="14"/>
      <c r="H103" s="14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396B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8" width="9.13"/>
    <col customWidth="1" min="9" max="9" width="10.13"/>
    <col customWidth="1" min="10" max="24" width="9.13"/>
  </cols>
  <sheetData>
    <row r="1">
      <c r="A1" s="28"/>
      <c r="H1" s="34"/>
      <c r="I1" s="40"/>
      <c r="J1" s="41" t="s">
        <v>20</v>
      </c>
      <c r="K1" s="41" t="s">
        <v>20</v>
      </c>
      <c r="L1" s="41" t="s">
        <v>20</v>
      </c>
      <c r="M1" s="41" t="s">
        <v>21</v>
      </c>
      <c r="N1" s="41" t="s">
        <v>21</v>
      </c>
      <c r="O1" s="41" t="s">
        <v>22</v>
      </c>
      <c r="P1" s="41" t="s">
        <v>23</v>
      </c>
      <c r="Q1" s="41" t="s">
        <v>23</v>
      </c>
      <c r="R1" s="42" t="s">
        <v>1</v>
      </c>
      <c r="S1" s="34"/>
      <c r="T1" s="34"/>
      <c r="U1" s="34"/>
      <c r="V1" s="34"/>
      <c r="W1" s="34"/>
      <c r="X1" s="34"/>
    </row>
    <row r="2">
      <c r="A2" s="5"/>
      <c r="B2" s="43" t="s">
        <v>24</v>
      </c>
      <c r="C2" s="44" t="s">
        <v>20</v>
      </c>
      <c r="D2" s="44" t="s">
        <v>21</v>
      </c>
      <c r="E2" s="44" t="s">
        <v>22</v>
      </c>
      <c r="F2" s="44" t="s">
        <v>23</v>
      </c>
      <c r="G2" s="45" t="s">
        <v>1</v>
      </c>
      <c r="H2" s="10"/>
      <c r="I2" s="7" t="s">
        <v>24</v>
      </c>
      <c r="J2" s="8" t="s">
        <v>25</v>
      </c>
      <c r="K2" s="8" t="s">
        <v>26</v>
      </c>
      <c r="L2" s="8" t="s">
        <v>27</v>
      </c>
      <c r="M2" s="8" t="s">
        <v>25</v>
      </c>
      <c r="N2" s="9" t="s">
        <v>27</v>
      </c>
      <c r="O2" s="8" t="s">
        <v>27</v>
      </c>
      <c r="P2" s="9" t="s">
        <v>27</v>
      </c>
      <c r="Q2" s="9" t="s">
        <v>28</v>
      </c>
      <c r="R2" s="9" t="s">
        <v>2</v>
      </c>
      <c r="S2" s="10"/>
      <c r="T2" s="10"/>
      <c r="U2" s="10"/>
      <c r="V2" s="10"/>
      <c r="W2" s="10"/>
      <c r="X2" s="10"/>
    </row>
    <row r="3">
      <c r="A3" s="14"/>
      <c r="B3" s="15">
        <v>2012.0</v>
      </c>
      <c r="C3" s="16">
        <f>sumifs(Production_Data!$G:$G,Production_Data!$A:$A,$I3,Production_Data!$F:$F,C$2)</f>
        <v>3105</v>
      </c>
      <c r="D3" s="16">
        <f>sumifs(Production_Data!$G:$G,Production_Data!$A:$A,$I3,Production_Data!$F:$F,D$2)</f>
        <v>0</v>
      </c>
      <c r="E3" s="16">
        <f>sumifs(Production_Data!$G:$G,Production_Data!$A:$A,$I3,Production_Data!$F:$F,E$2)</f>
        <v>0</v>
      </c>
      <c r="F3" s="16">
        <f>sumifs(Production_Data!$G:$G,Production_Data!$A:$A,$I3,Production_Data!$F:$F,F$2)</f>
        <v>0</v>
      </c>
      <c r="G3" s="17">
        <f t="shared" ref="G3:G17" si="1">SUM(C3:F3)</f>
        <v>3105</v>
      </c>
      <c r="H3" s="10"/>
      <c r="I3" s="15">
        <v>2012.0</v>
      </c>
      <c r="J3" s="16">
        <f>sumifs(Production_Data!$G:$G,Production_Data!$A:$A,$I3,Production_Data!$F:$F,J$1,Production_Data!$D:$D,J$2)</f>
        <v>0</v>
      </c>
      <c r="K3" s="16">
        <f>sumifs(Production_Data!$G:$G,Production_Data!$A:$A,$I3,Production_Data!$F:$F,K$1,Production_Data!$D:$D,K$2)</f>
        <v>3105</v>
      </c>
      <c r="L3" s="16">
        <f>sumifs(Production_Data!$G:$G,Production_Data!$A:$A,$I3,Production_Data!$F:$F,L$1,Production_Data!$D:$D,L$2)</f>
        <v>0</v>
      </c>
      <c r="M3" s="16">
        <f>sumifs(Production_Data!$G:$G,Production_Data!$A:$A,$I3,Production_Data!$F:$F,M$1,Production_Data!$D:$D,M$2)</f>
        <v>0</v>
      </c>
      <c r="N3" s="16">
        <f>sumifs(Production_Data!$G:$G,Production_Data!$A:$A,$I3,Production_Data!$F:$F,N$1,Production_Data!$D:$D,N$2)</f>
        <v>0</v>
      </c>
      <c r="O3" s="16">
        <f>sumifs(Production_Data!$G:$G,Production_Data!$A:$A,$I3,Production_Data!$F:$F,O$1,Production_Data!$D:$D,O$2)</f>
        <v>0</v>
      </c>
      <c r="P3" s="16">
        <f>sumifs(Production_Data!$G:$G,Production_Data!$A:$A,$I3,Production_Data!$F:$F,P$1,Production_Data!$D:$D,P$2)</f>
        <v>0</v>
      </c>
      <c r="Q3" s="16">
        <f>sumifs(Production_Data!$G:$G,Production_Data!$A:$A,$I3,Production_Data!$F:$F,Q$1,Production_Data!$D:$D,Q$2)</f>
        <v>0</v>
      </c>
      <c r="R3" s="17">
        <f t="shared" ref="R3:R17" si="2">SUM(J3:Q3)</f>
        <v>3105</v>
      </c>
      <c r="S3" s="10"/>
      <c r="T3" s="10"/>
      <c r="U3" s="10"/>
      <c r="V3" s="10"/>
      <c r="W3" s="10"/>
      <c r="X3" s="10"/>
    </row>
    <row r="4">
      <c r="A4" s="14"/>
      <c r="B4" s="15">
        <v>2013.0</v>
      </c>
      <c r="C4" s="16">
        <f>sumifs(Production_Data!$G:$G,Production_Data!$A:$A,$I4,Production_Data!$F:$F,C$2)</f>
        <v>23187</v>
      </c>
      <c r="D4" s="16">
        <f>sumifs(Production_Data!$G:$G,Production_Data!$A:$A,$I4,Production_Data!$F:$F,D$2)</f>
        <v>0</v>
      </c>
      <c r="E4" s="16">
        <f>sumifs(Production_Data!$G:$G,Production_Data!$A:$A,$I4,Production_Data!$F:$F,E$2)</f>
        <v>0</v>
      </c>
      <c r="F4" s="16">
        <f>sumifs(Production_Data!$G:$G,Production_Data!$A:$A,$I4,Production_Data!$F:$F,F$2)</f>
        <v>0</v>
      </c>
      <c r="G4" s="17">
        <f t="shared" si="1"/>
        <v>23187</v>
      </c>
      <c r="H4" s="10"/>
      <c r="I4" s="15">
        <v>2013.0</v>
      </c>
      <c r="J4" s="16">
        <f>sumifs(Production_Data!$G:$G,Production_Data!$A:$A,$I4,Production_Data!$F:$F,J$1,Production_Data!$D:$D,J$2)</f>
        <v>0</v>
      </c>
      <c r="K4" s="16">
        <f>sumifs(Production_Data!$G:$G,Production_Data!$A:$A,$I4,Production_Data!$F:$F,K$1,Production_Data!$D:$D,K$2)</f>
        <v>23187</v>
      </c>
      <c r="L4" s="16">
        <f>sumifs(Production_Data!$G:$G,Production_Data!$A:$A,$I4,Production_Data!$F:$F,L$1,Production_Data!$D:$D,L$2)</f>
        <v>0</v>
      </c>
      <c r="M4" s="16">
        <f>sumifs(Production_Data!$G:$G,Production_Data!$A:$A,$I4,Production_Data!$F:$F,M$1,Production_Data!$D:$D,M$2)</f>
        <v>0</v>
      </c>
      <c r="N4" s="16">
        <f>sumifs(Production_Data!$G:$G,Production_Data!$A:$A,$I4,Production_Data!$F:$F,N$1,Production_Data!$D:$D,N$2)</f>
        <v>0</v>
      </c>
      <c r="O4" s="16">
        <f>sumifs(Production_Data!$G:$G,Production_Data!$A:$A,$I4,Production_Data!$F:$F,O$1,Production_Data!$D:$D,O$2)</f>
        <v>0</v>
      </c>
      <c r="P4" s="16">
        <f>sumifs(Production_Data!$G:$G,Production_Data!$A:$A,$I4,Production_Data!$F:$F,P$1,Production_Data!$D:$D,P$2)</f>
        <v>0</v>
      </c>
      <c r="Q4" s="16">
        <f>sumifs(Production_Data!$G:$G,Production_Data!$A:$A,$I4,Production_Data!$F:$F,Q$1,Production_Data!$D:$D,Q$2)</f>
        <v>0</v>
      </c>
      <c r="R4" s="17">
        <f t="shared" si="2"/>
        <v>23187</v>
      </c>
      <c r="S4" s="10"/>
      <c r="T4" s="10"/>
      <c r="U4" s="10"/>
      <c r="V4" s="10"/>
      <c r="W4" s="10"/>
      <c r="X4" s="10"/>
    </row>
    <row r="5">
      <c r="A5" s="14"/>
      <c r="B5" s="15">
        <v>2014.0</v>
      </c>
      <c r="C5" s="16">
        <f>sumifs(Production_Data!$G:$G,Production_Data!$A:$A,$I5,Production_Data!$F:$F,C$2)</f>
        <v>35125</v>
      </c>
      <c r="D5" s="16">
        <f>sumifs(Production_Data!$G:$G,Production_Data!$A:$A,$I5,Production_Data!$F:$F,D$2)</f>
        <v>0</v>
      </c>
      <c r="E5" s="16">
        <f>sumifs(Production_Data!$G:$G,Production_Data!$A:$A,$I5,Production_Data!$F:$F,E$2)</f>
        <v>0</v>
      </c>
      <c r="F5" s="16">
        <f>sumifs(Production_Data!$G:$G,Production_Data!$A:$A,$I5,Production_Data!$F:$F,F$2)</f>
        <v>0</v>
      </c>
      <c r="G5" s="17">
        <f t="shared" si="1"/>
        <v>35125</v>
      </c>
      <c r="H5" s="10"/>
      <c r="I5" s="15">
        <v>2014.0</v>
      </c>
      <c r="J5" s="16">
        <f>sumifs(Production_Data!$G:$G,Production_Data!$A:$A,$I5,Production_Data!$F:$F,J$1,Production_Data!$D:$D,J$2)</f>
        <v>0</v>
      </c>
      <c r="K5" s="16">
        <f>sumifs(Production_Data!$G:$G,Production_Data!$A:$A,$I5,Production_Data!$F:$F,K$1,Production_Data!$D:$D,K$2)</f>
        <v>35125</v>
      </c>
      <c r="L5" s="16">
        <f>sumifs(Production_Data!$G:$G,Production_Data!$A:$A,$I5,Production_Data!$F:$F,L$1,Production_Data!$D:$D,L$2)</f>
        <v>0</v>
      </c>
      <c r="M5" s="16">
        <f>sumifs(Production_Data!$G:$G,Production_Data!$A:$A,$I5,Production_Data!$F:$F,M$1,Production_Data!$D:$D,M$2)</f>
        <v>0</v>
      </c>
      <c r="N5" s="16">
        <f>sumifs(Production_Data!$G:$G,Production_Data!$A:$A,$I5,Production_Data!$F:$F,N$1,Production_Data!$D:$D,N$2)</f>
        <v>0</v>
      </c>
      <c r="O5" s="16">
        <f>sumifs(Production_Data!$G:$G,Production_Data!$A:$A,$I5,Production_Data!$F:$F,O$1,Production_Data!$D:$D,O$2)</f>
        <v>0</v>
      </c>
      <c r="P5" s="16">
        <f>sumifs(Production_Data!$G:$G,Production_Data!$A:$A,$I5,Production_Data!$F:$F,P$1,Production_Data!$D:$D,P$2)</f>
        <v>0</v>
      </c>
      <c r="Q5" s="16">
        <f>sumifs(Production_Data!$G:$G,Production_Data!$A:$A,$I5,Production_Data!$F:$F,Q$1,Production_Data!$D:$D,Q$2)</f>
        <v>0</v>
      </c>
      <c r="R5" s="17">
        <f t="shared" si="2"/>
        <v>35125</v>
      </c>
      <c r="S5" s="10"/>
      <c r="T5" s="10"/>
      <c r="U5" s="10"/>
      <c r="V5" s="10"/>
      <c r="W5" s="10"/>
      <c r="X5" s="10"/>
    </row>
    <row r="6">
      <c r="A6" s="14"/>
      <c r="B6" s="15">
        <v>2015.0</v>
      </c>
      <c r="C6" s="16">
        <f>sumifs(Production_Data!$G:$G,Production_Data!$A:$A,$I6,Production_Data!$F:$F,C$2)</f>
        <v>51095</v>
      </c>
      <c r="D6" s="16">
        <f>sumifs(Production_Data!$G:$G,Production_Data!$A:$A,$I6,Production_Data!$F:$F,D$2)</f>
        <v>0</v>
      </c>
      <c r="E6" s="16">
        <f>sumifs(Production_Data!$G:$G,Production_Data!$A:$A,$I6,Production_Data!$F:$F,E$2)</f>
        <v>0</v>
      </c>
      <c r="F6" s="16">
        <f>sumifs(Production_Data!$G:$G,Production_Data!$A:$A,$I6,Production_Data!$F:$F,F$2)</f>
        <v>0</v>
      </c>
      <c r="G6" s="17">
        <f t="shared" si="1"/>
        <v>51095</v>
      </c>
      <c r="H6" s="10"/>
      <c r="I6" s="15">
        <v>2015.0</v>
      </c>
      <c r="J6" s="16">
        <f>sumifs(Production_Data!$G:$G,Production_Data!$A:$A,$I6,Production_Data!$F:$F,J$1,Production_Data!$D:$D,J$2)</f>
        <v>0</v>
      </c>
      <c r="K6" s="16">
        <f>sumifs(Production_Data!$G:$G,Production_Data!$A:$A,$I6,Production_Data!$F:$F,K$1,Production_Data!$D:$D,K$2)</f>
        <v>51095</v>
      </c>
      <c r="L6" s="16">
        <f>sumifs(Production_Data!$G:$G,Production_Data!$A:$A,$I6,Production_Data!$F:$F,L$1,Production_Data!$D:$D,L$2)</f>
        <v>0</v>
      </c>
      <c r="M6" s="16">
        <f>sumifs(Production_Data!$G:$G,Production_Data!$A:$A,$I6,Production_Data!$F:$F,M$1,Production_Data!$D:$D,M$2)</f>
        <v>0</v>
      </c>
      <c r="N6" s="16">
        <f>sumifs(Production_Data!$G:$G,Production_Data!$A:$A,$I6,Production_Data!$F:$F,N$1,Production_Data!$D:$D,N$2)</f>
        <v>0</v>
      </c>
      <c r="O6" s="16">
        <f>sumifs(Production_Data!$G:$G,Production_Data!$A:$A,$I6,Production_Data!$F:$F,O$1,Production_Data!$D:$D,O$2)</f>
        <v>0</v>
      </c>
      <c r="P6" s="16">
        <f>sumifs(Production_Data!$G:$G,Production_Data!$A:$A,$I6,Production_Data!$F:$F,P$1,Production_Data!$D:$D,P$2)</f>
        <v>0</v>
      </c>
      <c r="Q6" s="16">
        <f>sumifs(Production_Data!$G:$G,Production_Data!$A:$A,$I6,Production_Data!$F:$F,Q$1,Production_Data!$D:$D,Q$2)</f>
        <v>0</v>
      </c>
      <c r="R6" s="17">
        <f t="shared" si="2"/>
        <v>51095</v>
      </c>
      <c r="S6" s="10"/>
      <c r="T6" s="10"/>
      <c r="U6" s="10"/>
      <c r="V6" s="10"/>
      <c r="W6" s="10"/>
      <c r="X6" s="10"/>
    </row>
    <row r="7">
      <c r="A7" s="14"/>
      <c r="B7" s="15">
        <v>2016.0</v>
      </c>
      <c r="C7" s="16">
        <f>sumifs(Production_Data!$G:$G,Production_Data!$A:$A,$I7,Production_Data!$F:$F,C$2)</f>
        <v>83922</v>
      </c>
      <c r="D7" s="16">
        <f>sumifs(Production_Data!$G:$G,Production_Data!$A:$A,$I7,Production_Data!$F:$F,D$2)</f>
        <v>0</v>
      </c>
      <c r="E7" s="16">
        <f>sumifs(Production_Data!$G:$G,Production_Data!$A:$A,$I7,Production_Data!$F:$F,E$2)</f>
        <v>0</v>
      </c>
      <c r="F7" s="16">
        <f>sumifs(Production_Data!$G:$G,Production_Data!$A:$A,$I7,Production_Data!$F:$F,F$2)</f>
        <v>0</v>
      </c>
      <c r="G7" s="17">
        <f t="shared" si="1"/>
        <v>83922</v>
      </c>
      <c r="H7" s="10"/>
      <c r="I7" s="15">
        <v>2016.0</v>
      </c>
      <c r="J7" s="16">
        <f>sumifs(Production_Data!$G:$G,Production_Data!$A:$A,$I7,Production_Data!$F:$F,J$1,Production_Data!$D:$D,J$2)</f>
        <v>0</v>
      </c>
      <c r="K7" s="16">
        <f>sumifs(Production_Data!$G:$G,Production_Data!$A:$A,$I7,Production_Data!$F:$F,K$1,Production_Data!$D:$D,K$2)</f>
        <v>83922</v>
      </c>
      <c r="L7" s="16">
        <f>sumifs(Production_Data!$G:$G,Production_Data!$A:$A,$I7,Production_Data!$F:$F,L$1,Production_Data!$D:$D,L$2)</f>
        <v>0</v>
      </c>
      <c r="M7" s="16">
        <f>sumifs(Production_Data!$G:$G,Production_Data!$A:$A,$I7,Production_Data!$F:$F,M$1,Production_Data!$D:$D,M$2)</f>
        <v>0</v>
      </c>
      <c r="N7" s="16">
        <f>sumifs(Production_Data!$G:$G,Production_Data!$A:$A,$I7,Production_Data!$F:$F,N$1,Production_Data!$D:$D,N$2)</f>
        <v>0</v>
      </c>
      <c r="O7" s="16">
        <f>sumifs(Production_Data!$G:$G,Production_Data!$A:$A,$I7,Production_Data!$F:$F,O$1,Production_Data!$D:$D,O$2)</f>
        <v>0</v>
      </c>
      <c r="P7" s="16">
        <f>sumifs(Production_Data!$G:$G,Production_Data!$A:$A,$I7,Production_Data!$F:$F,P$1,Production_Data!$D:$D,P$2)</f>
        <v>0</v>
      </c>
      <c r="Q7" s="16">
        <f>sumifs(Production_Data!$G:$G,Production_Data!$A:$A,$I7,Production_Data!$F:$F,Q$1,Production_Data!$D:$D,Q$2)</f>
        <v>0</v>
      </c>
      <c r="R7" s="17">
        <f t="shared" si="2"/>
        <v>83922</v>
      </c>
      <c r="S7" s="10"/>
      <c r="T7" s="10"/>
      <c r="U7" s="10"/>
      <c r="V7" s="10"/>
      <c r="W7" s="10"/>
      <c r="X7" s="10"/>
    </row>
    <row r="8">
      <c r="A8" s="14"/>
      <c r="B8" s="15">
        <v>2017.0</v>
      </c>
      <c r="C8" s="16">
        <f>sumifs(Production_Data!$G:$G,Production_Data!$A:$A,$I8,Production_Data!$F:$F,C$2)</f>
        <v>101027</v>
      </c>
      <c r="D8" s="16">
        <f>sumifs(Production_Data!$G:$G,Production_Data!$A:$A,$I8,Production_Data!$F:$F,D$2)</f>
        <v>0</v>
      </c>
      <c r="E8" s="16">
        <f>sumifs(Production_Data!$G:$G,Production_Data!$A:$A,$I8,Production_Data!$F:$F,E$2)</f>
        <v>0</v>
      </c>
      <c r="F8" s="16">
        <f>sumifs(Production_Data!$G:$G,Production_Data!$A:$A,$I8,Production_Data!$F:$F,F$2)</f>
        <v>0</v>
      </c>
      <c r="G8" s="17">
        <f t="shared" si="1"/>
        <v>101027</v>
      </c>
      <c r="H8" s="10"/>
      <c r="I8" s="15">
        <v>2017.0</v>
      </c>
      <c r="J8" s="16">
        <f>sumifs(Production_Data!$G:$G,Production_Data!$A:$A,$I8,Production_Data!$F:$F,J$1,Production_Data!$D:$D,J$2)</f>
        <v>2685</v>
      </c>
      <c r="K8" s="16">
        <f>sumifs(Production_Data!$G:$G,Production_Data!$A:$A,$I8,Production_Data!$F:$F,K$1,Production_Data!$D:$D,K$2)</f>
        <v>98342</v>
      </c>
      <c r="L8" s="16">
        <f>sumifs(Production_Data!$G:$G,Production_Data!$A:$A,$I8,Production_Data!$F:$F,L$1,Production_Data!$D:$D,L$2)</f>
        <v>0</v>
      </c>
      <c r="M8" s="16">
        <f>sumifs(Production_Data!$G:$G,Production_Data!$A:$A,$I8,Production_Data!$F:$F,M$1,Production_Data!$D:$D,M$2)</f>
        <v>0</v>
      </c>
      <c r="N8" s="16">
        <f>sumifs(Production_Data!$G:$G,Production_Data!$A:$A,$I8,Production_Data!$F:$F,N$1,Production_Data!$D:$D,N$2)</f>
        <v>0</v>
      </c>
      <c r="O8" s="16">
        <f>sumifs(Production_Data!$G:$G,Production_Data!$A:$A,$I8,Production_Data!$F:$F,O$1,Production_Data!$D:$D,O$2)</f>
        <v>0</v>
      </c>
      <c r="P8" s="16">
        <f>sumifs(Production_Data!$G:$G,Production_Data!$A:$A,$I8,Production_Data!$F:$F,P$1,Production_Data!$D:$D,P$2)</f>
        <v>0</v>
      </c>
      <c r="Q8" s="16">
        <f>sumifs(Production_Data!$G:$G,Production_Data!$A:$A,$I8,Production_Data!$F:$F,Q$1,Production_Data!$D:$D,Q$2)</f>
        <v>0</v>
      </c>
      <c r="R8" s="17">
        <f t="shared" si="2"/>
        <v>101027</v>
      </c>
      <c r="S8" s="10"/>
      <c r="T8" s="10"/>
      <c r="U8" s="10"/>
      <c r="V8" s="10"/>
      <c r="W8" s="10"/>
      <c r="X8" s="10"/>
    </row>
    <row r="9">
      <c r="A9" s="14"/>
      <c r="B9" s="15">
        <v>2018.0</v>
      </c>
      <c r="C9" s="16">
        <f>sumifs(Production_Data!$G:$G,Production_Data!$A:$A,$I9,Production_Data!$F:$F,C$2)</f>
        <v>254530</v>
      </c>
      <c r="D9" s="16">
        <f>sumifs(Production_Data!$G:$G,Production_Data!$A:$A,$I9,Production_Data!$F:$F,D$2)</f>
        <v>0</v>
      </c>
      <c r="E9" s="16">
        <f>sumifs(Production_Data!$G:$G,Production_Data!$A:$A,$I9,Production_Data!$F:$F,E$2)</f>
        <v>0</v>
      </c>
      <c r="F9" s="16">
        <f>sumifs(Production_Data!$G:$G,Production_Data!$A:$A,$I9,Production_Data!$F:$F,F$2)</f>
        <v>0</v>
      </c>
      <c r="G9" s="17">
        <f t="shared" si="1"/>
        <v>254530</v>
      </c>
      <c r="H9" s="10"/>
      <c r="I9" s="15">
        <v>2018.0</v>
      </c>
      <c r="J9" s="16">
        <f>sumifs(Production_Data!$G:$G,Production_Data!$A:$A,$I9,Production_Data!$F:$F,J$1,Production_Data!$D:$D,J$2)</f>
        <v>152977</v>
      </c>
      <c r="K9" s="16">
        <f>sumifs(Production_Data!$G:$G,Production_Data!$A:$A,$I9,Production_Data!$F:$F,K$1,Production_Data!$D:$D,K$2)</f>
        <v>101553</v>
      </c>
      <c r="L9" s="16">
        <f>sumifs(Production_Data!$G:$G,Production_Data!$A:$A,$I9,Production_Data!$F:$F,L$1,Production_Data!$D:$D,L$2)</f>
        <v>0</v>
      </c>
      <c r="M9" s="16">
        <f>sumifs(Production_Data!$G:$G,Production_Data!$A:$A,$I9,Production_Data!$F:$F,M$1,Production_Data!$D:$D,M$2)</f>
        <v>0</v>
      </c>
      <c r="N9" s="16">
        <f>sumifs(Production_Data!$G:$G,Production_Data!$A:$A,$I9,Production_Data!$F:$F,N$1,Production_Data!$D:$D,N$2)</f>
        <v>0</v>
      </c>
      <c r="O9" s="16">
        <f>sumifs(Production_Data!$G:$G,Production_Data!$A:$A,$I9,Production_Data!$F:$F,O$1,Production_Data!$D:$D,O$2)</f>
        <v>0</v>
      </c>
      <c r="P9" s="16">
        <f>sumifs(Production_Data!$G:$G,Production_Data!$A:$A,$I9,Production_Data!$F:$F,P$1,Production_Data!$D:$D,P$2)</f>
        <v>0</v>
      </c>
      <c r="Q9" s="16">
        <f>sumifs(Production_Data!$G:$G,Production_Data!$A:$A,$I9,Production_Data!$F:$F,Q$1,Production_Data!$D:$D,Q$2)</f>
        <v>0</v>
      </c>
      <c r="R9" s="17">
        <f t="shared" si="2"/>
        <v>254530</v>
      </c>
      <c r="S9" s="36"/>
      <c r="T9" s="10"/>
      <c r="U9" s="10"/>
      <c r="V9" s="10"/>
      <c r="W9" s="10"/>
      <c r="X9" s="10"/>
    </row>
    <row r="10">
      <c r="A10" s="14"/>
      <c r="B10" s="15">
        <v>2019.0</v>
      </c>
      <c r="C10" s="16">
        <f>sumifs(Production_Data!$G:$G,Production_Data!$A:$A,$I10,Production_Data!$F:$F,C$2)</f>
        <v>365232</v>
      </c>
      <c r="D10" s="16">
        <f>sumifs(Production_Data!$G:$G,Production_Data!$A:$A,$I10,Production_Data!$F:$F,D$2)</f>
        <v>0</v>
      </c>
      <c r="E10" s="16">
        <f>sumifs(Production_Data!$G:$G,Production_Data!$A:$A,$I10,Production_Data!$F:$F,E$2)</f>
        <v>0</v>
      </c>
      <c r="F10" s="16">
        <f>sumifs(Production_Data!$G:$G,Production_Data!$A:$A,$I10,Production_Data!$F:$F,F$2)</f>
        <v>0</v>
      </c>
      <c r="G10" s="17">
        <f t="shared" si="1"/>
        <v>365232</v>
      </c>
      <c r="H10" s="10"/>
      <c r="I10" s="15">
        <v>2019.0</v>
      </c>
      <c r="J10" s="16">
        <f>sumifs(Production_Data!$G:$G,Production_Data!$A:$A,$I10,Production_Data!$F:$F,J$1,Production_Data!$D:$D,J$2)</f>
        <v>302301</v>
      </c>
      <c r="K10" s="16">
        <f>sumifs(Production_Data!$G:$G,Production_Data!$A:$A,$I10,Production_Data!$F:$F,K$1,Production_Data!$D:$D,K$2)</f>
        <v>62931</v>
      </c>
      <c r="L10" s="16">
        <f>sumifs(Production_Data!$G:$G,Production_Data!$A:$A,$I10,Production_Data!$F:$F,L$1,Production_Data!$D:$D,L$2)</f>
        <v>0</v>
      </c>
      <c r="M10" s="16">
        <f>sumifs(Production_Data!$G:$G,Production_Data!$A:$A,$I10,Production_Data!$F:$F,M$1,Production_Data!$D:$D,M$2)</f>
        <v>0</v>
      </c>
      <c r="N10" s="16">
        <f>sumifs(Production_Data!$G:$G,Production_Data!$A:$A,$I10,Production_Data!$F:$F,N$1,Production_Data!$D:$D,N$2)</f>
        <v>0</v>
      </c>
      <c r="O10" s="16">
        <f>sumifs(Production_Data!$G:$G,Production_Data!$A:$A,$I10,Production_Data!$F:$F,O$1,Production_Data!$D:$D,O$2)</f>
        <v>0</v>
      </c>
      <c r="P10" s="16">
        <f>sumifs(Production_Data!$G:$G,Production_Data!$A:$A,$I10,Production_Data!$F:$F,P$1,Production_Data!$D:$D,P$2)</f>
        <v>0</v>
      </c>
      <c r="Q10" s="16">
        <f>sumifs(Production_Data!$G:$G,Production_Data!$A:$A,$I10,Production_Data!$F:$F,Q$1,Production_Data!$D:$D,Q$2)</f>
        <v>0</v>
      </c>
      <c r="R10" s="17">
        <f t="shared" si="2"/>
        <v>365232</v>
      </c>
      <c r="S10" s="36"/>
      <c r="T10" s="10"/>
      <c r="U10" s="10"/>
      <c r="V10" s="10"/>
      <c r="W10" s="10"/>
      <c r="X10" s="10"/>
    </row>
    <row r="11">
      <c r="A11" s="14"/>
      <c r="B11" s="15">
        <v>2020.0</v>
      </c>
      <c r="C11" s="16">
        <f>sumifs(Production_Data!$G:$G,Production_Data!$A:$A,$I11,Production_Data!$F:$F,C$2)</f>
        <v>355405</v>
      </c>
      <c r="D11" s="16">
        <f>sumifs(Production_Data!$G:$G,Production_Data!$A:$A,$I11,Production_Data!$F:$F,D$2)</f>
        <v>154332</v>
      </c>
      <c r="E11" s="16">
        <f>sumifs(Production_Data!$G:$G,Production_Data!$A:$A,$I11,Production_Data!$F:$F,E$2)</f>
        <v>0</v>
      </c>
      <c r="F11" s="16">
        <f>sumifs(Production_Data!$G:$G,Production_Data!$A:$A,$I11,Production_Data!$F:$F,F$2)</f>
        <v>0</v>
      </c>
      <c r="G11" s="17">
        <f t="shared" si="1"/>
        <v>509737</v>
      </c>
      <c r="H11" s="10"/>
      <c r="I11" s="15">
        <v>2020.0</v>
      </c>
      <c r="J11" s="16">
        <f>sumifs(Production_Data!$G:$G,Production_Data!$A:$A,$I11,Production_Data!$F:$F,J$1,Production_Data!$D:$D,J$2)</f>
        <v>213704</v>
      </c>
      <c r="K11" s="16">
        <f>sumifs(Production_Data!$G:$G,Production_Data!$A:$A,$I11,Production_Data!$F:$F,K$1,Production_Data!$D:$D,K$2)</f>
        <v>54805</v>
      </c>
      <c r="L11" s="16">
        <f>sumifs(Production_Data!$G:$G,Production_Data!$A:$A,$I11,Production_Data!$F:$F,L$1,Production_Data!$D:$D,L$2)</f>
        <v>86896</v>
      </c>
      <c r="M11" s="16">
        <f>sumifs(Production_Data!$G:$G,Production_Data!$A:$A,$I11,Production_Data!$F:$F,M$1,Production_Data!$D:$D,M$2)</f>
        <v>154332</v>
      </c>
      <c r="N11" s="16">
        <f>sumifs(Production_Data!$G:$G,Production_Data!$A:$A,$I11,Production_Data!$F:$F,N$1,Production_Data!$D:$D,N$2)</f>
        <v>0</v>
      </c>
      <c r="O11" s="16">
        <f>sumifs(Production_Data!$G:$G,Production_Data!$A:$A,$I11,Production_Data!$F:$F,O$1,Production_Data!$D:$D,O$2)</f>
        <v>0</v>
      </c>
      <c r="P11" s="16">
        <f>sumifs(Production_Data!$G:$G,Production_Data!$A:$A,$I11,Production_Data!$F:$F,P$1,Production_Data!$D:$D,P$2)</f>
        <v>0</v>
      </c>
      <c r="Q11" s="16">
        <f>sumifs(Production_Data!$G:$G,Production_Data!$A:$A,$I11,Production_Data!$F:$F,Q$1,Production_Data!$D:$D,Q$2)</f>
        <v>0</v>
      </c>
      <c r="R11" s="17">
        <f t="shared" si="2"/>
        <v>509737</v>
      </c>
      <c r="S11" s="36"/>
      <c r="T11" s="10"/>
      <c r="U11" s="10"/>
      <c r="V11" s="10"/>
      <c r="W11" s="10"/>
      <c r="X11" s="10"/>
    </row>
    <row r="12">
      <c r="A12" s="14"/>
      <c r="B12" s="15">
        <v>2021.0</v>
      </c>
      <c r="C12" s="16">
        <f>sumifs(Production_Data!$G:$G,Production_Data!$A:$A,$I12,Production_Data!$F:$F,C$2)</f>
        <v>444635</v>
      </c>
      <c r="D12" s="16">
        <f>sumifs(Production_Data!$G:$G,Production_Data!$A:$A,$I12,Production_Data!$F:$F,D$2)</f>
        <v>485787</v>
      </c>
      <c r="E12" s="16">
        <f>sumifs(Production_Data!$G:$G,Production_Data!$A:$A,$I12,Production_Data!$F:$F,E$2)</f>
        <v>0</v>
      </c>
      <c r="F12" s="16">
        <f>sumifs(Production_Data!$G:$G,Production_Data!$A:$A,$I12,Production_Data!$F:$F,F$2)</f>
        <v>0</v>
      </c>
      <c r="G12" s="17">
        <f t="shared" si="1"/>
        <v>930422</v>
      </c>
      <c r="H12" s="10"/>
      <c r="I12" s="15">
        <v>2021.0</v>
      </c>
      <c r="J12" s="16">
        <f>sumifs(Production_Data!$G:$G,Production_Data!$A:$A,$I12,Production_Data!$F:$F,J$1,Production_Data!$D:$D,J$2)</f>
        <v>216671</v>
      </c>
      <c r="K12" s="16">
        <f>sumifs(Production_Data!$G:$G,Production_Data!$A:$A,$I12,Production_Data!$F:$F,K$1,Production_Data!$D:$D,K$2)</f>
        <v>24390</v>
      </c>
      <c r="L12" s="16">
        <f>sumifs(Production_Data!$G:$G,Production_Data!$A:$A,$I12,Production_Data!$F:$F,L$1,Production_Data!$D:$D,L$2)</f>
        <v>203574</v>
      </c>
      <c r="M12" s="16">
        <f>sumifs(Production_Data!$G:$G,Production_Data!$A:$A,$I12,Production_Data!$F:$F,M$1,Production_Data!$D:$D,M$2)</f>
        <v>279858</v>
      </c>
      <c r="N12" s="16">
        <f>sumifs(Production_Data!$G:$G,Production_Data!$A:$A,$I12,Production_Data!$F:$F,N$1,Production_Data!$D:$D,N$2)</f>
        <v>205929</v>
      </c>
      <c r="O12" s="16">
        <f>sumifs(Production_Data!$G:$G,Production_Data!$A:$A,$I12,Production_Data!$F:$F,O$1,Production_Data!$D:$D,O$2)</f>
        <v>0</v>
      </c>
      <c r="P12" s="16">
        <f>sumifs(Production_Data!$G:$G,Production_Data!$A:$A,$I12,Production_Data!$F:$F,P$1,Production_Data!$D:$D,P$2)</f>
        <v>0</v>
      </c>
      <c r="Q12" s="16">
        <f>sumifs(Production_Data!$G:$G,Production_Data!$A:$A,$I12,Production_Data!$F:$F,Q$1,Production_Data!$D:$D,Q$2)</f>
        <v>0</v>
      </c>
      <c r="R12" s="17">
        <f t="shared" si="2"/>
        <v>930422</v>
      </c>
      <c r="S12" s="36"/>
      <c r="U12" s="10"/>
      <c r="V12" s="10"/>
      <c r="W12" s="10"/>
      <c r="X12" s="10"/>
    </row>
    <row r="13">
      <c r="A13" s="19"/>
      <c r="B13" s="20">
        <v>2022.0</v>
      </c>
      <c r="C13" s="16">
        <f>sumifs(Production_Data!$G:$G,Production_Data!$A:$A,$I13,Production_Data!$F:$F,C$2)</f>
        <v>555110</v>
      </c>
      <c r="D13" s="16">
        <f>sumifs(Production_Data!$G:$G,Production_Data!$A:$A,$I13,Production_Data!$F:$F,D$2)</f>
        <v>726669</v>
      </c>
      <c r="E13" s="16">
        <f>sumifs(Production_Data!$G:$G,Production_Data!$A:$A,$I13,Production_Data!$F:$F,E$2)</f>
        <v>48704</v>
      </c>
      <c r="F13" s="16">
        <f>sumifs(Production_Data!$G:$G,Production_Data!$A:$A,$I13,Production_Data!$F:$F,F$2)</f>
        <v>39128</v>
      </c>
      <c r="G13" s="17">
        <f t="shared" si="1"/>
        <v>1369611</v>
      </c>
      <c r="H13" s="10"/>
      <c r="I13" s="20">
        <v>2022.0</v>
      </c>
      <c r="J13" s="16">
        <f>sumifs(Production_Data!$G:$G,Production_Data!$A:$A,$I13,Production_Data!$F:$F,J$1,Production_Data!$D:$D,J$2)</f>
        <v>242633</v>
      </c>
      <c r="K13" s="16">
        <f>sumifs(Production_Data!$G:$G,Production_Data!$A:$A,$I13,Production_Data!$F:$F,K$1,Production_Data!$D:$D,K$2)</f>
        <v>71177</v>
      </c>
      <c r="L13" s="16">
        <f>sumifs(Production_Data!$G:$G,Production_Data!$A:$A,$I13,Production_Data!$F:$F,L$1,Production_Data!$D:$D,L$2)</f>
        <v>241300</v>
      </c>
      <c r="M13" s="16">
        <f>sumifs(Production_Data!$G:$G,Production_Data!$A:$A,$I13,Production_Data!$F:$F,M$1,Production_Data!$D:$D,M$2)</f>
        <v>262653</v>
      </c>
      <c r="N13" s="16">
        <f>sumifs(Production_Data!$G:$G,Production_Data!$A:$A,$I13,Production_Data!$F:$F,N$1,Production_Data!$D:$D,N$2)</f>
        <v>464016</v>
      </c>
      <c r="O13" s="16">
        <f>sumifs(Production_Data!$G:$G,Production_Data!$A:$A,$I13,Production_Data!$F:$F,O$1,Production_Data!$D:$D,O$2)</f>
        <v>48704</v>
      </c>
      <c r="P13" s="16">
        <f>sumifs(Production_Data!$G:$G,Production_Data!$A:$A,$I13,Production_Data!$F:$F,P$1,Production_Data!$D:$D,P$2)</f>
        <v>39128</v>
      </c>
      <c r="Q13" s="16">
        <f>sumifs(Production_Data!$G:$G,Production_Data!$A:$A,$I13,Production_Data!$F:$F,Q$1,Production_Data!$D:$D,Q$2)</f>
        <v>0</v>
      </c>
      <c r="R13" s="17">
        <f t="shared" si="2"/>
        <v>1369611</v>
      </c>
      <c r="S13" s="36"/>
      <c r="T13" s="10"/>
      <c r="U13" s="10"/>
      <c r="V13" s="10"/>
      <c r="W13" s="10"/>
      <c r="X13" s="10"/>
    </row>
    <row r="14">
      <c r="A14" s="19"/>
      <c r="B14" s="20">
        <v>2023.0</v>
      </c>
      <c r="C14" s="16">
        <f>sumifs(Production_Data!$G:$G,Production_Data!$A:$A,$I14,Production_Data!$F:$F,C$2)</f>
        <v>557266</v>
      </c>
      <c r="D14" s="16">
        <f>sumifs(Production_Data!$G:$G,Production_Data!$A:$A,$I14,Production_Data!$F:$F,D$2)</f>
        <v>949736</v>
      </c>
      <c r="E14" s="16">
        <f>sumifs(Production_Data!$G:$G,Production_Data!$A:$A,$I14,Production_Data!$F:$F,E$2)</f>
        <v>197129</v>
      </c>
      <c r="F14" s="16">
        <f>sumifs(Production_Data!$G:$G,Production_Data!$A:$A,$I14,Production_Data!$F:$F,F$2)</f>
        <v>141854</v>
      </c>
      <c r="G14" s="17">
        <f t="shared" si="1"/>
        <v>1845985</v>
      </c>
      <c r="H14" s="10"/>
      <c r="I14" s="20">
        <v>2023.0</v>
      </c>
      <c r="J14" s="16">
        <f>sumifs(Production_Data!$G:$G,Production_Data!$A:$A,$I14,Production_Data!$F:$F,J$1,Production_Data!$D:$D,J$2)</f>
        <v>227913</v>
      </c>
      <c r="K14" s="16">
        <f>sumifs(Production_Data!$G:$G,Production_Data!$A:$A,$I14,Production_Data!$F:$F,K$1,Production_Data!$D:$D,K$2)</f>
        <v>70611</v>
      </c>
      <c r="L14" s="16">
        <f>sumifs(Production_Data!$G:$G,Production_Data!$A:$A,$I14,Production_Data!$F:$F,L$1,Production_Data!$D:$D,L$2)</f>
        <v>258742</v>
      </c>
      <c r="M14" s="16">
        <f>sumifs(Production_Data!$G:$G,Production_Data!$A:$A,$I14,Production_Data!$F:$F,M$1,Production_Data!$D:$D,M$2)</f>
        <v>305409</v>
      </c>
      <c r="N14" s="16">
        <f>sumifs(Production_Data!$G:$G,Production_Data!$A:$A,$I14,Production_Data!$F:$F,N$1,Production_Data!$D:$D,N$2)</f>
        <v>644327</v>
      </c>
      <c r="O14" s="16">
        <f>sumifs(Production_Data!$G:$G,Production_Data!$A:$A,$I14,Production_Data!$F:$F,O$1,Production_Data!$D:$D,O$2)</f>
        <v>197129</v>
      </c>
      <c r="P14" s="16">
        <f>sumifs(Production_Data!$G:$G,Production_Data!$A:$A,$I14,Production_Data!$F:$F,P$1,Production_Data!$D:$D,P$2)</f>
        <v>141639</v>
      </c>
      <c r="Q14" s="16">
        <f>sumifs(Production_Data!$G:$G,Production_Data!$A:$A,$I14,Production_Data!$F:$F,Q$1,Production_Data!$D:$D,Q$2)</f>
        <v>215</v>
      </c>
      <c r="R14" s="17">
        <f t="shared" si="2"/>
        <v>1845985</v>
      </c>
      <c r="S14" s="10"/>
      <c r="T14" s="10"/>
      <c r="U14" s="10"/>
      <c r="V14" s="10"/>
      <c r="W14" s="10"/>
      <c r="X14" s="10"/>
    </row>
    <row r="15">
      <c r="A15" s="19"/>
      <c r="B15" s="20">
        <v>2024.0</v>
      </c>
      <c r="C15" s="16">
        <f>sumifs(Production_Data!$G:$G,Production_Data!$A:$A,$I15,Production_Data!$F:$F,C$2)</f>
        <v>476527</v>
      </c>
      <c r="D15" s="16">
        <f>sumifs(Production_Data!$G:$G,Production_Data!$A:$A,$I15,Production_Data!$F:$F,D$2)</f>
        <v>912526</v>
      </c>
      <c r="E15" s="16">
        <f>sumifs(Production_Data!$G:$G,Production_Data!$A:$A,$I15,Production_Data!$F:$F,E$2)</f>
        <v>208502</v>
      </c>
      <c r="F15" s="16">
        <f>sumifs(Production_Data!$G:$G,Production_Data!$A:$A,$I15,Production_Data!$F:$F,F$2)</f>
        <v>175888</v>
      </c>
      <c r="G15" s="17">
        <f t="shared" si="1"/>
        <v>1773443</v>
      </c>
      <c r="H15" s="10"/>
      <c r="I15" s="20">
        <v>2024.0</v>
      </c>
      <c r="J15" s="16">
        <f>sumifs(Production_Data!$G:$G,Production_Data!$A:$A,$I15,Production_Data!$F:$F,J$1,Production_Data!$D:$D,J$2)</f>
        <v>175534</v>
      </c>
      <c r="K15" s="16">
        <f>sumifs(Production_Data!$G:$G,Production_Data!$A:$A,$I15,Production_Data!$F:$F,K$1,Production_Data!$D:$D,K$2)</f>
        <v>53277</v>
      </c>
      <c r="L15" s="16">
        <f>sumifs(Production_Data!$G:$G,Production_Data!$A:$A,$I15,Production_Data!$F:$F,L$1,Production_Data!$D:$D,L$2)</f>
        <v>247716</v>
      </c>
      <c r="M15" s="16">
        <f>sumifs(Production_Data!$G:$G,Production_Data!$A:$A,$I15,Production_Data!$F:$F,M$1,Production_Data!$D:$D,M$2)</f>
        <v>356523</v>
      </c>
      <c r="N15" s="16">
        <f>sumifs(Production_Data!$G:$G,Production_Data!$A:$A,$I15,Production_Data!$F:$F,N$1,Production_Data!$D:$D,N$2)</f>
        <v>556003</v>
      </c>
      <c r="O15" s="16">
        <f>sumifs(Production_Data!$G:$G,Production_Data!$A:$A,$I15,Production_Data!$F:$F,O$1,Production_Data!$D:$D,O$2)</f>
        <v>208502</v>
      </c>
      <c r="P15" s="16">
        <f>sumifs(Production_Data!$G:$G,Production_Data!$A:$A,$I15,Production_Data!$F:$F,P$1,Production_Data!$D:$D,P$2)</f>
        <v>135060</v>
      </c>
      <c r="Q15" s="16">
        <f>sumifs(Production_Data!$G:$G,Production_Data!$A:$A,$I15,Production_Data!$F:$F,Q$1,Production_Data!$D:$D,Q$2)</f>
        <v>40828</v>
      </c>
      <c r="R15" s="17">
        <f t="shared" si="2"/>
        <v>1773443</v>
      </c>
      <c r="S15" s="10"/>
      <c r="T15" s="36"/>
      <c r="U15" s="21"/>
      <c r="V15" s="10"/>
      <c r="W15" s="10"/>
      <c r="X15" s="10"/>
    </row>
    <row r="16">
      <c r="A16" s="19"/>
      <c r="B16" s="20">
        <v>2025.0</v>
      </c>
      <c r="C16" s="16">
        <f>sumifs(Production_Data!$G:$G,Production_Data!$A:$A,$I16,Production_Data!$F:$F,C$2)</f>
        <v>420672</v>
      </c>
      <c r="D16" s="16">
        <f>sumifs(Production_Data!$G:$G,Production_Data!$A:$A,$I16,Production_Data!$F:$F,D$2)</f>
        <v>850427</v>
      </c>
      <c r="E16" s="16">
        <f>sumifs(Production_Data!$G:$G,Production_Data!$A:$A,$I16,Production_Data!$F:$F,E$2)</f>
        <v>198512</v>
      </c>
      <c r="F16" s="16">
        <f>sumifs(Production_Data!$G:$G,Production_Data!$A:$A,$I16,Production_Data!$F:$F,F$2)</f>
        <v>185056</v>
      </c>
      <c r="G16" s="17">
        <f t="shared" si="1"/>
        <v>1654667</v>
      </c>
      <c r="H16" s="10"/>
      <c r="I16" s="20">
        <v>2025.0</v>
      </c>
      <c r="J16" s="16">
        <f>sumifs(Production_Data!$G:$G,Production_Data!$A:$A,$I16,Production_Data!$F:$F,J$1,Production_Data!$D:$D,J$2)</f>
        <v>177686</v>
      </c>
      <c r="K16" s="16">
        <f>sumifs(Production_Data!$G:$G,Production_Data!$A:$A,$I16,Production_Data!$F:$F,K$1,Production_Data!$D:$D,K$2)</f>
        <v>32491</v>
      </c>
      <c r="L16" s="16">
        <f>sumifs(Production_Data!$G:$G,Production_Data!$A:$A,$I16,Production_Data!$F:$F,L$1,Production_Data!$D:$D,L$2)</f>
        <v>210495</v>
      </c>
      <c r="M16" s="16">
        <f>sumifs(Production_Data!$G:$G,Production_Data!$A:$A,$I16,Production_Data!$F:$F,M$1,Production_Data!$D:$D,M$2)</f>
        <v>310573</v>
      </c>
      <c r="N16" s="16">
        <f>sumifs(Production_Data!$G:$G,Production_Data!$A:$A,$I16,Production_Data!$F:$F,N$1,Production_Data!$D:$D,N$2)</f>
        <v>539854</v>
      </c>
      <c r="O16" s="16">
        <f>sumifs(Production_Data!$G:$G,Production_Data!$A:$A,$I16,Production_Data!$F:$F,O$1,Production_Data!$D:$D,O$2)</f>
        <v>198512</v>
      </c>
      <c r="P16" s="16">
        <f>sumifs(Production_Data!$G:$G,Production_Data!$A:$A,$I16,Production_Data!$F:$F,P$1,Production_Data!$D:$D,P$2)</f>
        <v>163647</v>
      </c>
      <c r="Q16" s="16">
        <f>sumifs(Production_Data!$G:$G,Production_Data!$A:$A,$I16,Production_Data!$F:$F,Q$1,Production_Data!$D:$D,Q$2)</f>
        <v>21409</v>
      </c>
      <c r="R16" s="17">
        <f t="shared" si="2"/>
        <v>1654667</v>
      </c>
      <c r="S16" s="19"/>
      <c r="V16" s="10"/>
      <c r="W16" s="10"/>
      <c r="X16" s="10"/>
    </row>
    <row r="17">
      <c r="A17" s="19"/>
      <c r="B17" s="22" t="s">
        <v>1</v>
      </c>
      <c r="C17" s="17">
        <f t="shared" ref="C17:F17" si="3">sum(C3:C16)</f>
        <v>3726838</v>
      </c>
      <c r="D17" s="17">
        <f t="shared" si="3"/>
        <v>4079477</v>
      </c>
      <c r="E17" s="17">
        <f t="shared" si="3"/>
        <v>652847</v>
      </c>
      <c r="F17" s="17">
        <f t="shared" si="3"/>
        <v>541926</v>
      </c>
      <c r="G17" s="17">
        <f t="shared" si="1"/>
        <v>9001088</v>
      </c>
      <c r="H17" s="10"/>
      <c r="I17" s="22" t="s">
        <v>1</v>
      </c>
      <c r="J17" s="17">
        <f t="shared" ref="J17:Q17" si="4">sum(J3:J16)</f>
        <v>1712104</v>
      </c>
      <c r="K17" s="17">
        <f t="shared" si="4"/>
        <v>766011</v>
      </c>
      <c r="L17" s="17">
        <f t="shared" si="4"/>
        <v>1248723</v>
      </c>
      <c r="M17" s="17">
        <f t="shared" si="4"/>
        <v>1669348</v>
      </c>
      <c r="N17" s="17">
        <f t="shared" si="4"/>
        <v>2410129</v>
      </c>
      <c r="O17" s="17">
        <f t="shared" si="4"/>
        <v>652847</v>
      </c>
      <c r="P17" s="17">
        <f t="shared" si="4"/>
        <v>479474</v>
      </c>
      <c r="Q17" s="17">
        <f t="shared" si="4"/>
        <v>62452</v>
      </c>
      <c r="R17" s="17">
        <f t="shared" si="2"/>
        <v>9001088</v>
      </c>
      <c r="S17" s="10"/>
      <c r="V17" s="10"/>
      <c r="W17" s="10"/>
      <c r="X17" s="10"/>
    </row>
    <row r="18">
      <c r="A18" s="14"/>
      <c r="B18" s="10"/>
      <c r="C18" s="10"/>
      <c r="D18" s="10"/>
      <c r="E18" s="10"/>
      <c r="F18" s="10"/>
      <c r="G18" s="36"/>
      <c r="H18" s="10"/>
      <c r="I18" s="14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36">
        <v>2349.0</v>
      </c>
      <c r="U18" s="21" t="s">
        <v>29</v>
      </c>
      <c r="W18" s="10"/>
      <c r="X18" s="10"/>
    </row>
    <row r="19">
      <c r="A19" s="14"/>
      <c r="B19" s="10"/>
      <c r="C19" s="10"/>
      <c r="D19" s="10"/>
      <c r="E19" s="10"/>
      <c r="F19" s="10"/>
      <c r="G19" s="39"/>
      <c r="H19" s="10"/>
      <c r="I19" s="10"/>
      <c r="J19" s="10"/>
      <c r="K19" s="10"/>
      <c r="L19" s="10"/>
      <c r="M19" s="10"/>
      <c r="N19" s="10"/>
      <c r="O19" s="46"/>
      <c r="P19" s="10"/>
      <c r="Q19" s="10"/>
      <c r="R19" s="10"/>
      <c r="S19" s="10"/>
      <c r="T19" s="10">
        <f>R17+T18</f>
        <v>9003437</v>
      </c>
      <c r="U19" s="21" t="s">
        <v>1</v>
      </c>
      <c r="W19" s="10"/>
      <c r="X19" s="10"/>
    </row>
    <row r="20">
      <c r="A20" s="14"/>
      <c r="B20" s="10"/>
      <c r="C20" s="10"/>
      <c r="D20" s="10"/>
      <c r="E20" s="10"/>
      <c r="F20" s="10"/>
      <c r="G20" s="10"/>
      <c r="H20" s="10"/>
      <c r="I20" s="14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f>9000000-T19</f>
        <v>-3437</v>
      </c>
      <c r="U20" s="47" t="s">
        <v>30</v>
      </c>
      <c r="V20" s="34"/>
      <c r="W20" s="10"/>
      <c r="X20" s="10"/>
    </row>
    <row r="21">
      <c r="A21" s="28"/>
      <c r="H21" s="34"/>
      <c r="I21" s="40"/>
      <c r="J21" s="41" t="s">
        <v>20</v>
      </c>
      <c r="K21" s="41" t="s">
        <v>20</v>
      </c>
      <c r="L21" s="41" t="s">
        <v>20</v>
      </c>
      <c r="M21" s="41" t="s">
        <v>21</v>
      </c>
      <c r="N21" s="41" t="s">
        <v>21</v>
      </c>
      <c r="O21" s="41" t="s">
        <v>22</v>
      </c>
      <c r="P21" s="41" t="s">
        <v>23</v>
      </c>
      <c r="Q21" s="41" t="s">
        <v>23</v>
      </c>
      <c r="R21" s="42" t="s">
        <v>1</v>
      </c>
      <c r="S21" s="34"/>
      <c r="T21" s="10"/>
      <c r="U21" s="10"/>
      <c r="V21" s="10"/>
      <c r="W21" s="34"/>
      <c r="X21" s="34"/>
    </row>
    <row r="22">
      <c r="A22" s="5"/>
      <c r="B22" s="43" t="s">
        <v>24</v>
      </c>
      <c r="C22" s="44" t="s">
        <v>20</v>
      </c>
      <c r="D22" s="44" t="s">
        <v>21</v>
      </c>
      <c r="E22" s="44" t="s">
        <v>22</v>
      </c>
      <c r="F22" s="44" t="s">
        <v>23</v>
      </c>
      <c r="G22" s="45" t="s">
        <v>1</v>
      </c>
      <c r="H22" s="10"/>
      <c r="I22" s="7" t="s">
        <v>24</v>
      </c>
      <c r="J22" s="8" t="s">
        <v>25</v>
      </c>
      <c r="K22" s="8" t="s">
        <v>26</v>
      </c>
      <c r="L22" s="8" t="s">
        <v>27</v>
      </c>
      <c r="M22" s="8" t="s">
        <v>25</v>
      </c>
      <c r="N22" s="9" t="s">
        <v>27</v>
      </c>
      <c r="O22" s="8" t="s">
        <v>27</v>
      </c>
      <c r="P22" s="9" t="s">
        <v>27</v>
      </c>
      <c r="Q22" s="9" t="s">
        <v>28</v>
      </c>
      <c r="R22" s="9" t="s">
        <v>2</v>
      </c>
      <c r="S22" s="10"/>
      <c r="T22" s="10"/>
      <c r="U22" s="10"/>
      <c r="V22" s="10"/>
      <c r="W22" s="10"/>
      <c r="X22" s="10"/>
    </row>
    <row r="23">
      <c r="A23" s="14"/>
      <c r="B23" s="15" t="s">
        <v>31</v>
      </c>
      <c r="C23" s="16">
        <f>sumifs(Production_Data!$G:$G,Production_Data!$C:$C,$I23,Production_Data!$F:$F,C$22)</f>
        <v>345</v>
      </c>
      <c r="D23" s="16">
        <f>sumifs(Production_Data!$G:$G,Production_Data!$C:$C,$I23,Production_Data!$F:$F,D$22)</f>
        <v>0</v>
      </c>
      <c r="E23" s="16">
        <f>sumifs(Production_Data!$G:$G,Production_Data!$C:$C,$I23,Production_Data!$F:$F,E$22)</f>
        <v>0</v>
      </c>
      <c r="F23" s="16">
        <f>sumifs(Production_Data!$G:$G,Production_Data!$C:$C,$I23,Production_Data!$F:$F,F$22)</f>
        <v>0</v>
      </c>
      <c r="G23" s="17">
        <f t="shared" ref="G23:G76" si="5">SUM(C23:F23)</f>
        <v>345</v>
      </c>
      <c r="I23" s="15" t="s">
        <v>31</v>
      </c>
      <c r="J23" s="16">
        <f>sumifs(Production_Data!$G:$G,Production_Data!$C:$C,$I23,Production_Data!$F:$F,J$21,Production_Data!$D:$D,J$22)</f>
        <v>0</v>
      </c>
      <c r="K23" s="16">
        <f>sumifs(Production_Data!$G:$G,Production_Data!$C:$C,$I23,Production_Data!$F:$F,K$21,Production_Data!$D:$D,K$22)</f>
        <v>345</v>
      </c>
      <c r="L23" s="16">
        <f>sumifs(Production_Data!$G:$G,Production_Data!$C:$C,$I23,Production_Data!$F:$F,L$21,Production_Data!$D:$D,L$22)</f>
        <v>0</v>
      </c>
      <c r="M23" s="16">
        <f>sumifs(Production_Data!$G:$G,Production_Data!$C:$C,$I23,Production_Data!$F:$F,M$21,Production_Data!$D:$D,M$22)</f>
        <v>0</v>
      </c>
      <c r="N23" s="16">
        <f>sumifs(Production_Data!$G:$G,Production_Data!$C:$C,$I23,Production_Data!$F:$F,N$21,Production_Data!$D:$D,N$22)</f>
        <v>0</v>
      </c>
      <c r="O23" s="16">
        <f>sumifs(Production_Data!$G:$G,Production_Data!$C:$C,$I23,Production_Data!$F:$F,O$21,Production_Data!$D:$D,O$22)</f>
        <v>0</v>
      </c>
      <c r="P23" s="16">
        <f>sumifs(Production_Data!$G:$G,Production_Data!$C:$C,$I23,Production_Data!$F:$F,P$21,Production_Data!$D:$D,P$22)</f>
        <v>0</v>
      </c>
      <c r="Q23" s="16">
        <f>sumifs(Production_Data!$G:$G,Production_Data!$C:$C,$I23,Production_Data!$F:$F,Q$21,Production_Data!$D:$D,Q$22)</f>
        <v>0</v>
      </c>
      <c r="R23" s="17">
        <f t="shared" ref="R23:R76" si="6">SUM(J23:Q23)</f>
        <v>345</v>
      </c>
      <c r="S23" s="10"/>
      <c r="T23" s="10"/>
      <c r="U23" s="10"/>
      <c r="V23" s="10"/>
    </row>
    <row r="24">
      <c r="A24" s="14"/>
      <c r="B24" s="15" t="s">
        <v>32</v>
      </c>
      <c r="C24" s="16">
        <f>sumifs(Production_Data!$G:$G,Production_Data!$C:$C,$I24,Production_Data!$F:$F,C$22)</f>
        <v>2760</v>
      </c>
      <c r="D24" s="16">
        <f>sumifs(Production_Data!$G:$G,Production_Data!$C:$C,$I24,Production_Data!$F:$F,D$22)</f>
        <v>0</v>
      </c>
      <c r="E24" s="16">
        <f>sumifs(Production_Data!$G:$G,Production_Data!$C:$C,$I24,Production_Data!$F:$F,E$22)</f>
        <v>0</v>
      </c>
      <c r="F24" s="16">
        <f>sumifs(Production_Data!$G:$G,Production_Data!$C:$C,$I24,Production_Data!$F:$F,F$22)</f>
        <v>0</v>
      </c>
      <c r="G24" s="17">
        <f t="shared" si="5"/>
        <v>2760</v>
      </c>
      <c r="H24" s="10"/>
      <c r="I24" s="15" t="s">
        <v>32</v>
      </c>
      <c r="J24" s="16">
        <f>sumifs(Production_Data!$G:$G,Production_Data!$C:$C,$I24,Production_Data!$F:$F,J$21,Production_Data!$D:$D,J$22)</f>
        <v>0</v>
      </c>
      <c r="K24" s="16">
        <f>sumifs(Production_Data!$G:$G,Production_Data!$C:$C,$I24,Production_Data!$F:$F,K$21,Production_Data!$D:$D,K$22)</f>
        <v>2760</v>
      </c>
      <c r="L24" s="16">
        <f>sumifs(Production_Data!$G:$G,Production_Data!$C:$C,$I24,Production_Data!$F:$F,L$21,Production_Data!$D:$D,L$22)</f>
        <v>0</v>
      </c>
      <c r="M24" s="16">
        <f>sumifs(Production_Data!$G:$G,Production_Data!$C:$C,$I24,Production_Data!$F:$F,M$21,Production_Data!$D:$D,M$22)</f>
        <v>0</v>
      </c>
      <c r="N24" s="16">
        <f>sumifs(Production_Data!$G:$G,Production_Data!$C:$C,$I24,Production_Data!$F:$F,N$21,Production_Data!$D:$D,N$22)</f>
        <v>0</v>
      </c>
      <c r="O24" s="16">
        <f>sumifs(Production_Data!$G:$G,Production_Data!$C:$C,$I24,Production_Data!$F:$F,O$21,Production_Data!$D:$D,O$22)</f>
        <v>0</v>
      </c>
      <c r="P24" s="16">
        <f>sumifs(Production_Data!$G:$G,Production_Data!$C:$C,$I24,Production_Data!$F:$F,P$21,Production_Data!$D:$D,P$22)</f>
        <v>0</v>
      </c>
      <c r="Q24" s="16">
        <f>sumifs(Production_Data!$G:$G,Production_Data!$C:$C,$I24,Production_Data!$F:$F,Q$21,Production_Data!$D:$D,Q$22)</f>
        <v>0</v>
      </c>
      <c r="R24" s="17">
        <f t="shared" si="6"/>
        <v>2760</v>
      </c>
      <c r="S24" s="10"/>
      <c r="T24" s="10"/>
      <c r="U24" s="10"/>
      <c r="V24" s="10"/>
      <c r="W24" s="10"/>
      <c r="X24" s="10"/>
    </row>
    <row r="25">
      <c r="A25" s="14"/>
      <c r="B25" s="15" t="s">
        <v>33</v>
      </c>
      <c r="C25" s="16">
        <f>sumifs(Production_Data!$G:$G,Production_Data!$C:$C,$I25,Production_Data!$F:$F,C$22)</f>
        <v>5050</v>
      </c>
      <c r="D25" s="16">
        <f>sumifs(Production_Data!$G:$G,Production_Data!$C:$C,$I25,Production_Data!$F:$F,D$22)</f>
        <v>0</v>
      </c>
      <c r="E25" s="16">
        <f>sumifs(Production_Data!$G:$G,Production_Data!$C:$C,$I25,Production_Data!$F:$F,E$22)</f>
        <v>0</v>
      </c>
      <c r="F25" s="16">
        <f>sumifs(Production_Data!$G:$G,Production_Data!$C:$C,$I25,Production_Data!$F:$F,F$22)</f>
        <v>0</v>
      </c>
      <c r="G25" s="17">
        <f t="shared" si="5"/>
        <v>5050</v>
      </c>
      <c r="H25" s="10"/>
      <c r="I25" s="15" t="s">
        <v>33</v>
      </c>
      <c r="J25" s="16">
        <f>sumifs(Production_Data!$G:$G,Production_Data!$C:$C,$I25,Production_Data!$F:$F,J$21,Production_Data!$D:$D,J$22)</f>
        <v>0</v>
      </c>
      <c r="K25" s="16">
        <f>sumifs(Production_Data!$G:$G,Production_Data!$C:$C,$I25,Production_Data!$F:$F,K$21,Production_Data!$D:$D,K$22)</f>
        <v>5050</v>
      </c>
      <c r="L25" s="16">
        <f>sumifs(Production_Data!$G:$G,Production_Data!$C:$C,$I25,Production_Data!$F:$F,L$21,Production_Data!$D:$D,L$22)</f>
        <v>0</v>
      </c>
      <c r="M25" s="16">
        <f>sumifs(Production_Data!$G:$G,Production_Data!$C:$C,$I25,Production_Data!$F:$F,M$21,Production_Data!$D:$D,M$22)</f>
        <v>0</v>
      </c>
      <c r="N25" s="16">
        <f>sumifs(Production_Data!$G:$G,Production_Data!$C:$C,$I25,Production_Data!$F:$F,N$21,Production_Data!$D:$D,N$22)</f>
        <v>0</v>
      </c>
      <c r="O25" s="16">
        <f>sumifs(Production_Data!$G:$G,Production_Data!$C:$C,$I25,Production_Data!$F:$F,O$21,Production_Data!$D:$D,O$22)</f>
        <v>0</v>
      </c>
      <c r="P25" s="16">
        <f>sumifs(Production_Data!$G:$G,Production_Data!$C:$C,$I25,Production_Data!$F:$F,P$21,Production_Data!$D:$D,P$22)</f>
        <v>0</v>
      </c>
      <c r="Q25" s="16">
        <f>sumifs(Production_Data!$G:$G,Production_Data!$C:$C,$I25,Production_Data!$F:$F,Q$21,Production_Data!$D:$D,Q$22)</f>
        <v>0</v>
      </c>
      <c r="R25" s="17">
        <f t="shared" si="6"/>
        <v>5050</v>
      </c>
      <c r="S25" s="10"/>
      <c r="T25" s="10"/>
      <c r="U25" s="10"/>
      <c r="V25" s="10"/>
      <c r="W25" s="10"/>
      <c r="X25" s="10"/>
    </row>
    <row r="26">
      <c r="A26" s="14"/>
      <c r="B26" s="15" t="s">
        <v>34</v>
      </c>
      <c r="C26" s="16">
        <f>sumifs(Production_Data!$G:$G,Production_Data!$C:$C,$I26,Production_Data!$F:$F,C$22)</f>
        <v>5450</v>
      </c>
      <c r="D26" s="16">
        <f>sumifs(Production_Data!$G:$G,Production_Data!$C:$C,$I26,Production_Data!$F:$F,D$22)</f>
        <v>0</v>
      </c>
      <c r="E26" s="16">
        <f>sumifs(Production_Data!$G:$G,Production_Data!$C:$C,$I26,Production_Data!$F:$F,E$22)</f>
        <v>0</v>
      </c>
      <c r="F26" s="16">
        <f>sumifs(Production_Data!$G:$G,Production_Data!$C:$C,$I26,Production_Data!$F:$F,F$22)</f>
        <v>0</v>
      </c>
      <c r="G26" s="17">
        <f t="shared" si="5"/>
        <v>5450</v>
      </c>
      <c r="H26" s="10"/>
      <c r="I26" s="15" t="s">
        <v>34</v>
      </c>
      <c r="J26" s="16">
        <f>sumifs(Production_Data!$G:$G,Production_Data!$C:$C,$I26,Production_Data!$F:$F,J$21,Production_Data!$D:$D,J$22)</f>
        <v>0</v>
      </c>
      <c r="K26" s="16">
        <f>sumifs(Production_Data!$G:$G,Production_Data!$C:$C,$I26,Production_Data!$F:$F,K$21,Production_Data!$D:$D,K$22)</f>
        <v>5450</v>
      </c>
      <c r="L26" s="16">
        <f>sumifs(Production_Data!$G:$G,Production_Data!$C:$C,$I26,Production_Data!$F:$F,L$21,Production_Data!$D:$D,L$22)</f>
        <v>0</v>
      </c>
      <c r="M26" s="16">
        <f>sumifs(Production_Data!$G:$G,Production_Data!$C:$C,$I26,Production_Data!$F:$F,M$21,Production_Data!$D:$D,M$22)</f>
        <v>0</v>
      </c>
      <c r="N26" s="16">
        <f>sumifs(Production_Data!$G:$G,Production_Data!$C:$C,$I26,Production_Data!$F:$F,N$21,Production_Data!$D:$D,N$22)</f>
        <v>0</v>
      </c>
      <c r="O26" s="16">
        <f>sumifs(Production_Data!$G:$G,Production_Data!$C:$C,$I26,Production_Data!$F:$F,O$21,Production_Data!$D:$D,O$22)</f>
        <v>0</v>
      </c>
      <c r="P26" s="16">
        <f>sumifs(Production_Data!$G:$G,Production_Data!$C:$C,$I26,Production_Data!$F:$F,P$21,Production_Data!$D:$D,P$22)</f>
        <v>0</v>
      </c>
      <c r="Q26" s="16">
        <f>sumifs(Production_Data!$G:$G,Production_Data!$C:$C,$I26,Production_Data!$F:$F,Q$21,Production_Data!$D:$D,Q$22)</f>
        <v>0</v>
      </c>
      <c r="R26" s="17">
        <f t="shared" si="6"/>
        <v>5450</v>
      </c>
      <c r="S26" s="10"/>
      <c r="W26" s="10"/>
      <c r="X26" s="10"/>
    </row>
    <row r="27">
      <c r="A27" s="14"/>
      <c r="B27" s="15" t="s">
        <v>35</v>
      </c>
      <c r="C27" s="16">
        <f>sumifs(Production_Data!$G:$G,Production_Data!$C:$C,$I27,Production_Data!$F:$F,C$22)</f>
        <v>6100</v>
      </c>
      <c r="D27" s="16">
        <f>sumifs(Production_Data!$G:$G,Production_Data!$C:$C,$I27,Production_Data!$F:$F,D$22)</f>
        <v>0</v>
      </c>
      <c r="E27" s="16">
        <f>sumifs(Production_Data!$G:$G,Production_Data!$C:$C,$I27,Production_Data!$F:$F,E$22)</f>
        <v>0</v>
      </c>
      <c r="F27" s="16">
        <f>sumifs(Production_Data!$G:$G,Production_Data!$C:$C,$I27,Production_Data!$F:$F,F$22)</f>
        <v>0</v>
      </c>
      <c r="G27" s="17">
        <f t="shared" si="5"/>
        <v>6100</v>
      </c>
      <c r="H27" s="10"/>
      <c r="I27" s="15" t="s">
        <v>35</v>
      </c>
      <c r="J27" s="16">
        <f>sumifs(Production_Data!$G:$G,Production_Data!$C:$C,$I27,Production_Data!$F:$F,J$21,Production_Data!$D:$D,J$22)</f>
        <v>0</v>
      </c>
      <c r="K27" s="16">
        <f>sumifs(Production_Data!$G:$G,Production_Data!$C:$C,$I27,Production_Data!$F:$F,K$21,Production_Data!$D:$D,K$22)</f>
        <v>6100</v>
      </c>
      <c r="L27" s="16">
        <f>sumifs(Production_Data!$G:$G,Production_Data!$C:$C,$I27,Production_Data!$F:$F,L$21,Production_Data!$D:$D,L$22)</f>
        <v>0</v>
      </c>
      <c r="M27" s="16">
        <f>sumifs(Production_Data!$G:$G,Production_Data!$C:$C,$I27,Production_Data!$F:$F,M$21,Production_Data!$D:$D,M$22)</f>
        <v>0</v>
      </c>
      <c r="N27" s="16">
        <f>sumifs(Production_Data!$G:$G,Production_Data!$C:$C,$I27,Production_Data!$F:$F,N$21,Production_Data!$D:$D,N$22)</f>
        <v>0</v>
      </c>
      <c r="O27" s="16">
        <f>sumifs(Production_Data!$G:$G,Production_Data!$C:$C,$I27,Production_Data!$F:$F,O$21,Production_Data!$D:$D,O$22)</f>
        <v>0</v>
      </c>
      <c r="P27" s="16">
        <f>sumifs(Production_Data!$G:$G,Production_Data!$C:$C,$I27,Production_Data!$F:$F,P$21,Production_Data!$D:$D,P$22)</f>
        <v>0</v>
      </c>
      <c r="Q27" s="16">
        <f>sumifs(Production_Data!$G:$G,Production_Data!$C:$C,$I27,Production_Data!$F:$F,Q$21,Production_Data!$D:$D,Q$22)</f>
        <v>0</v>
      </c>
      <c r="R27" s="17">
        <f t="shared" si="6"/>
        <v>6100</v>
      </c>
      <c r="S27" s="10"/>
      <c r="T27" s="10"/>
      <c r="U27" s="10"/>
      <c r="V27" s="10"/>
      <c r="W27" s="10"/>
      <c r="X27" s="10"/>
    </row>
    <row r="28">
      <c r="A28" s="14"/>
      <c r="B28" s="15" t="s">
        <v>36</v>
      </c>
      <c r="C28" s="16">
        <f>sumifs(Production_Data!$G:$G,Production_Data!$C:$C,$I28,Production_Data!$F:$F,C$22)</f>
        <v>6587</v>
      </c>
      <c r="D28" s="16">
        <f>sumifs(Production_Data!$G:$G,Production_Data!$C:$C,$I28,Production_Data!$F:$F,D$22)</f>
        <v>0</v>
      </c>
      <c r="E28" s="16">
        <f>sumifs(Production_Data!$G:$G,Production_Data!$C:$C,$I28,Production_Data!$F:$F,E$22)</f>
        <v>0</v>
      </c>
      <c r="F28" s="16">
        <f>sumifs(Production_Data!$G:$G,Production_Data!$C:$C,$I28,Production_Data!$F:$F,F$22)</f>
        <v>0</v>
      </c>
      <c r="G28" s="17">
        <f t="shared" si="5"/>
        <v>6587</v>
      </c>
      <c r="H28" s="10"/>
      <c r="I28" s="15" t="s">
        <v>36</v>
      </c>
      <c r="J28" s="16">
        <f>sumifs(Production_Data!$G:$G,Production_Data!$C:$C,$I28,Production_Data!$F:$F,J$21,Production_Data!$D:$D,J$22)</f>
        <v>0</v>
      </c>
      <c r="K28" s="16">
        <f>sumifs(Production_Data!$G:$G,Production_Data!$C:$C,$I28,Production_Data!$F:$F,K$21,Production_Data!$D:$D,K$22)</f>
        <v>6587</v>
      </c>
      <c r="L28" s="16">
        <f>sumifs(Production_Data!$G:$G,Production_Data!$C:$C,$I28,Production_Data!$F:$F,L$21,Production_Data!$D:$D,L$22)</f>
        <v>0</v>
      </c>
      <c r="M28" s="16">
        <f>sumifs(Production_Data!$G:$G,Production_Data!$C:$C,$I28,Production_Data!$F:$F,M$21,Production_Data!$D:$D,M$22)</f>
        <v>0</v>
      </c>
      <c r="N28" s="16">
        <f>sumifs(Production_Data!$G:$G,Production_Data!$C:$C,$I28,Production_Data!$F:$F,N$21,Production_Data!$D:$D,N$22)</f>
        <v>0</v>
      </c>
      <c r="O28" s="16">
        <f>sumifs(Production_Data!$G:$G,Production_Data!$C:$C,$I28,Production_Data!$F:$F,O$21,Production_Data!$D:$D,O$22)</f>
        <v>0</v>
      </c>
      <c r="P28" s="16">
        <f>sumifs(Production_Data!$G:$G,Production_Data!$C:$C,$I28,Production_Data!$F:$F,P$21,Production_Data!$D:$D,P$22)</f>
        <v>0</v>
      </c>
      <c r="Q28" s="16">
        <f>sumifs(Production_Data!$G:$G,Production_Data!$C:$C,$I28,Production_Data!$F:$F,Q$21,Production_Data!$D:$D,Q$22)</f>
        <v>0</v>
      </c>
      <c r="R28" s="17">
        <f t="shared" si="6"/>
        <v>6587</v>
      </c>
      <c r="S28" s="10"/>
      <c r="T28" s="10"/>
      <c r="U28" s="10"/>
      <c r="V28" s="10"/>
      <c r="W28" s="10"/>
      <c r="X28" s="10"/>
    </row>
    <row r="29">
      <c r="A29" s="14"/>
      <c r="B29" s="15" t="s">
        <v>37</v>
      </c>
      <c r="C29" s="16">
        <f>sumifs(Production_Data!$G:$G,Production_Data!$C:$C,$I29,Production_Data!$F:$F,C$22)</f>
        <v>7535</v>
      </c>
      <c r="D29" s="16">
        <f>sumifs(Production_Data!$G:$G,Production_Data!$C:$C,$I29,Production_Data!$F:$F,D$22)</f>
        <v>0</v>
      </c>
      <c r="E29" s="16">
        <f>sumifs(Production_Data!$G:$G,Production_Data!$C:$C,$I29,Production_Data!$F:$F,E$22)</f>
        <v>0</v>
      </c>
      <c r="F29" s="16">
        <f>sumifs(Production_Data!$G:$G,Production_Data!$C:$C,$I29,Production_Data!$F:$F,F$22)</f>
        <v>0</v>
      </c>
      <c r="G29" s="17">
        <f t="shared" si="5"/>
        <v>7535</v>
      </c>
      <c r="H29" s="10"/>
      <c r="I29" s="15" t="s">
        <v>37</v>
      </c>
      <c r="J29" s="16">
        <f>sumifs(Production_Data!$G:$G,Production_Data!$C:$C,$I29,Production_Data!$F:$F,J$21,Production_Data!$D:$D,J$22)</f>
        <v>0</v>
      </c>
      <c r="K29" s="16">
        <f>sumifs(Production_Data!$G:$G,Production_Data!$C:$C,$I29,Production_Data!$F:$F,K$21,Production_Data!$D:$D,K$22)</f>
        <v>7535</v>
      </c>
      <c r="L29" s="16">
        <f>sumifs(Production_Data!$G:$G,Production_Data!$C:$C,$I29,Production_Data!$F:$F,L$21,Production_Data!$D:$D,L$22)</f>
        <v>0</v>
      </c>
      <c r="M29" s="16">
        <f>sumifs(Production_Data!$G:$G,Production_Data!$C:$C,$I29,Production_Data!$F:$F,M$21,Production_Data!$D:$D,M$22)</f>
        <v>0</v>
      </c>
      <c r="N29" s="16">
        <f>sumifs(Production_Data!$G:$G,Production_Data!$C:$C,$I29,Production_Data!$F:$F,N$21,Production_Data!$D:$D,N$22)</f>
        <v>0</v>
      </c>
      <c r="O29" s="16">
        <f>sumifs(Production_Data!$G:$G,Production_Data!$C:$C,$I29,Production_Data!$F:$F,O$21,Production_Data!$D:$D,O$22)</f>
        <v>0</v>
      </c>
      <c r="P29" s="16">
        <f>sumifs(Production_Data!$G:$G,Production_Data!$C:$C,$I29,Production_Data!$F:$F,P$21,Production_Data!$D:$D,P$22)</f>
        <v>0</v>
      </c>
      <c r="Q29" s="16">
        <f>sumifs(Production_Data!$G:$G,Production_Data!$C:$C,$I29,Production_Data!$F:$F,Q$21,Production_Data!$D:$D,Q$22)</f>
        <v>0</v>
      </c>
      <c r="R29" s="17">
        <f t="shared" si="6"/>
        <v>7535</v>
      </c>
      <c r="S29" s="10"/>
      <c r="T29" s="10"/>
      <c r="U29" s="10"/>
      <c r="V29" s="10"/>
      <c r="W29" s="10"/>
      <c r="X29" s="10"/>
    </row>
    <row r="30">
      <c r="A30" s="14"/>
      <c r="B30" s="15" t="s">
        <v>38</v>
      </c>
      <c r="C30" s="16">
        <f>sumifs(Production_Data!$G:$G,Production_Data!$C:$C,$I30,Production_Data!$F:$F,C$22)</f>
        <v>8763</v>
      </c>
      <c r="D30" s="16">
        <f>sumifs(Production_Data!$G:$G,Production_Data!$C:$C,$I30,Production_Data!$F:$F,D$22)</f>
        <v>0</v>
      </c>
      <c r="E30" s="16">
        <f>sumifs(Production_Data!$G:$G,Production_Data!$C:$C,$I30,Production_Data!$F:$F,E$22)</f>
        <v>0</v>
      </c>
      <c r="F30" s="16">
        <f>sumifs(Production_Data!$G:$G,Production_Data!$C:$C,$I30,Production_Data!$F:$F,F$22)</f>
        <v>0</v>
      </c>
      <c r="G30" s="17">
        <f t="shared" si="5"/>
        <v>8763</v>
      </c>
      <c r="H30" s="10"/>
      <c r="I30" s="15" t="s">
        <v>38</v>
      </c>
      <c r="J30" s="16">
        <f>sumifs(Production_Data!$G:$G,Production_Data!$C:$C,$I30,Production_Data!$F:$F,J$21,Production_Data!$D:$D,J$22)</f>
        <v>0</v>
      </c>
      <c r="K30" s="16">
        <f>sumifs(Production_Data!$G:$G,Production_Data!$C:$C,$I30,Production_Data!$F:$F,K$21,Production_Data!$D:$D,K$22)</f>
        <v>8763</v>
      </c>
      <c r="L30" s="16">
        <f>sumifs(Production_Data!$G:$G,Production_Data!$C:$C,$I30,Production_Data!$F:$F,L$21,Production_Data!$D:$D,L$22)</f>
        <v>0</v>
      </c>
      <c r="M30" s="16">
        <f>sumifs(Production_Data!$G:$G,Production_Data!$C:$C,$I30,Production_Data!$F:$F,M$21,Production_Data!$D:$D,M$22)</f>
        <v>0</v>
      </c>
      <c r="N30" s="16">
        <f>sumifs(Production_Data!$G:$G,Production_Data!$C:$C,$I30,Production_Data!$F:$F,N$21,Production_Data!$D:$D,N$22)</f>
        <v>0</v>
      </c>
      <c r="O30" s="16">
        <f>sumifs(Production_Data!$G:$G,Production_Data!$C:$C,$I30,Production_Data!$F:$F,O$21,Production_Data!$D:$D,O$22)</f>
        <v>0</v>
      </c>
      <c r="P30" s="16">
        <f>sumifs(Production_Data!$G:$G,Production_Data!$C:$C,$I30,Production_Data!$F:$F,P$21,Production_Data!$D:$D,P$22)</f>
        <v>0</v>
      </c>
      <c r="Q30" s="16">
        <f>sumifs(Production_Data!$G:$G,Production_Data!$C:$C,$I30,Production_Data!$F:$F,Q$21,Production_Data!$D:$D,Q$22)</f>
        <v>0</v>
      </c>
      <c r="R30" s="17">
        <f t="shared" si="6"/>
        <v>8763</v>
      </c>
      <c r="S30" s="10"/>
      <c r="T30" s="10"/>
      <c r="U30" s="10"/>
      <c r="V30" s="10"/>
      <c r="W30" s="10"/>
      <c r="X30" s="10"/>
    </row>
    <row r="31">
      <c r="A31" s="14"/>
      <c r="B31" s="15" t="s">
        <v>39</v>
      </c>
      <c r="C31" s="16">
        <f>sumifs(Production_Data!$G:$G,Production_Data!$C:$C,$I31,Production_Data!$F:$F,C$22)</f>
        <v>7200</v>
      </c>
      <c r="D31" s="16">
        <f>sumifs(Production_Data!$G:$G,Production_Data!$C:$C,$I31,Production_Data!$F:$F,D$22)</f>
        <v>0</v>
      </c>
      <c r="E31" s="16">
        <f>sumifs(Production_Data!$G:$G,Production_Data!$C:$C,$I31,Production_Data!$F:$F,E$22)</f>
        <v>0</v>
      </c>
      <c r="F31" s="16">
        <f>sumifs(Production_Data!$G:$G,Production_Data!$C:$C,$I31,Production_Data!$F:$F,F$22)</f>
        <v>0</v>
      </c>
      <c r="G31" s="17">
        <f t="shared" si="5"/>
        <v>7200</v>
      </c>
      <c r="H31" s="10"/>
      <c r="I31" s="15" t="s">
        <v>39</v>
      </c>
      <c r="J31" s="16">
        <f>sumifs(Production_Data!$G:$G,Production_Data!$C:$C,$I31,Production_Data!$F:$F,J$21,Production_Data!$D:$D,J$22)</f>
        <v>0</v>
      </c>
      <c r="K31" s="16">
        <f>sumifs(Production_Data!$G:$G,Production_Data!$C:$C,$I31,Production_Data!$F:$F,K$21,Production_Data!$D:$D,K$22)</f>
        <v>7200</v>
      </c>
      <c r="L31" s="16">
        <f>sumifs(Production_Data!$G:$G,Production_Data!$C:$C,$I31,Production_Data!$F:$F,L$21,Production_Data!$D:$D,L$22)</f>
        <v>0</v>
      </c>
      <c r="M31" s="16">
        <f>sumifs(Production_Data!$G:$G,Production_Data!$C:$C,$I31,Production_Data!$F:$F,M$21,Production_Data!$D:$D,M$22)</f>
        <v>0</v>
      </c>
      <c r="N31" s="16">
        <f>sumifs(Production_Data!$G:$G,Production_Data!$C:$C,$I31,Production_Data!$F:$F,N$21,Production_Data!$D:$D,N$22)</f>
        <v>0</v>
      </c>
      <c r="O31" s="16">
        <f>sumifs(Production_Data!$G:$G,Production_Data!$C:$C,$I31,Production_Data!$F:$F,O$21,Production_Data!$D:$D,O$22)</f>
        <v>0</v>
      </c>
      <c r="P31" s="16">
        <f>sumifs(Production_Data!$G:$G,Production_Data!$C:$C,$I31,Production_Data!$F:$F,P$21,Production_Data!$D:$D,P$22)</f>
        <v>0</v>
      </c>
      <c r="Q31" s="16">
        <f>sumifs(Production_Data!$G:$G,Production_Data!$C:$C,$I31,Production_Data!$F:$F,Q$21,Production_Data!$D:$D,Q$22)</f>
        <v>0</v>
      </c>
      <c r="R31" s="17">
        <f t="shared" si="6"/>
        <v>7200</v>
      </c>
      <c r="S31" s="10"/>
      <c r="T31" s="10"/>
      <c r="U31" s="10"/>
      <c r="V31" s="10"/>
      <c r="W31" s="10"/>
      <c r="X31" s="10"/>
    </row>
    <row r="32">
      <c r="A32" s="14"/>
      <c r="B32" s="15" t="s">
        <v>40</v>
      </c>
      <c r="C32" s="16">
        <f>sumifs(Production_Data!$G:$G,Production_Data!$C:$C,$I32,Production_Data!$F:$F,C$22)</f>
        <v>11627</v>
      </c>
      <c r="D32" s="16">
        <f>sumifs(Production_Data!$G:$G,Production_Data!$C:$C,$I32,Production_Data!$F:$F,D$22)</f>
        <v>0</v>
      </c>
      <c r="E32" s="16">
        <f>sumifs(Production_Data!$G:$G,Production_Data!$C:$C,$I32,Production_Data!$F:$F,E$22)</f>
        <v>0</v>
      </c>
      <c r="F32" s="16">
        <f>sumifs(Production_Data!$G:$G,Production_Data!$C:$C,$I32,Production_Data!$F:$F,F$22)</f>
        <v>0</v>
      </c>
      <c r="G32" s="17">
        <f t="shared" si="5"/>
        <v>11627</v>
      </c>
      <c r="H32" s="10"/>
      <c r="I32" s="15" t="s">
        <v>40</v>
      </c>
      <c r="J32" s="16">
        <f>sumifs(Production_Data!$G:$G,Production_Data!$C:$C,$I32,Production_Data!$F:$F,J$21,Production_Data!$D:$D,J$22)</f>
        <v>0</v>
      </c>
      <c r="K32" s="16">
        <f>sumifs(Production_Data!$G:$G,Production_Data!$C:$C,$I32,Production_Data!$F:$F,K$21,Production_Data!$D:$D,K$22)</f>
        <v>11627</v>
      </c>
      <c r="L32" s="16">
        <f>sumifs(Production_Data!$G:$G,Production_Data!$C:$C,$I32,Production_Data!$F:$F,L$21,Production_Data!$D:$D,L$22)</f>
        <v>0</v>
      </c>
      <c r="M32" s="16">
        <f>sumifs(Production_Data!$G:$G,Production_Data!$C:$C,$I32,Production_Data!$F:$F,M$21,Production_Data!$D:$D,M$22)</f>
        <v>0</v>
      </c>
      <c r="N32" s="16">
        <f>sumifs(Production_Data!$G:$G,Production_Data!$C:$C,$I32,Production_Data!$F:$F,N$21,Production_Data!$D:$D,N$22)</f>
        <v>0</v>
      </c>
      <c r="O32" s="16">
        <f>sumifs(Production_Data!$G:$G,Production_Data!$C:$C,$I32,Production_Data!$F:$F,O$21,Production_Data!$D:$D,O$22)</f>
        <v>0</v>
      </c>
      <c r="P32" s="16">
        <f>sumifs(Production_Data!$G:$G,Production_Data!$C:$C,$I32,Production_Data!$F:$F,P$21,Production_Data!$D:$D,P$22)</f>
        <v>0</v>
      </c>
      <c r="Q32" s="16">
        <f>sumifs(Production_Data!$G:$G,Production_Data!$C:$C,$I32,Production_Data!$F:$F,Q$21,Production_Data!$D:$D,Q$22)</f>
        <v>0</v>
      </c>
      <c r="R32" s="17">
        <f t="shared" si="6"/>
        <v>11627</v>
      </c>
      <c r="S32" s="10"/>
      <c r="T32" s="10"/>
      <c r="U32" s="10"/>
      <c r="V32" s="10"/>
      <c r="W32" s="10"/>
      <c r="X32" s="10"/>
    </row>
    <row r="33">
      <c r="A33" s="14"/>
      <c r="B33" s="15" t="s">
        <v>41</v>
      </c>
      <c r="C33" s="16">
        <f>sumifs(Production_Data!$G:$G,Production_Data!$C:$C,$I33,Production_Data!$F:$F,C$22)</f>
        <v>11160</v>
      </c>
      <c r="D33" s="16">
        <f>sumifs(Production_Data!$G:$G,Production_Data!$C:$C,$I33,Production_Data!$F:$F,D$22)</f>
        <v>0</v>
      </c>
      <c r="E33" s="16">
        <f>sumifs(Production_Data!$G:$G,Production_Data!$C:$C,$I33,Production_Data!$F:$F,E$22)</f>
        <v>0</v>
      </c>
      <c r="F33" s="16">
        <f>sumifs(Production_Data!$G:$G,Production_Data!$C:$C,$I33,Production_Data!$F:$F,F$22)</f>
        <v>0</v>
      </c>
      <c r="G33" s="17">
        <f t="shared" si="5"/>
        <v>11160</v>
      </c>
      <c r="H33" s="10"/>
      <c r="I33" s="15" t="s">
        <v>41</v>
      </c>
      <c r="J33" s="16">
        <f>sumifs(Production_Data!$G:$G,Production_Data!$C:$C,$I33,Production_Data!$F:$F,J$21,Production_Data!$D:$D,J$22)</f>
        <v>0</v>
      </c>
      <c r="K33" s="16">
        <f>sumifs(Production_Data!$G:$G,Production_Data!$C:$C,$I33,Production_Data!$F:$F,K$21,Production_Data!$D:$D,K$22)</f>
        <v>11160</v>
      </c>
      <c r="L33" s="16">
        <f>sumifs(Production_Data!$G:$G,Production_Data!$C:$C,$I33,Production_Data!$F:$F,L$21,Production_Data!$D:$D,L$22)</f>
        <v>0</v>
      </c>
      <c r="M33" s="16">
        <f>sumifs(Production_Data!$G:$G,Production_Data!$C:$C,$I33,Production_Data!$F:$F,M$21,Production_Data!$D:$D,M$22)</f>
        <v>0</v>
      </c>
      <c r="N33" s="16">
        <f>sumifs(Production_Data!$G:$G,Production_Data!$C:$C,$I33,Production_Data!$F:$F,N$21,Production_Data!$D:$D,N$22)</f>
        <v>0</v>
      </c>
      <c r="O33" s="16">
        <f>sumifs(Production_Data!$G:$G,Production_Data!$C:$C,$I33,Production_Data!$F:$F,O$21,Production_Data!$D:$D,O$22)</f>
        <v>0</v>
      </c>
      <c r="P33" s="16">
        <f>sumifs(Production_Data!$G:$G,Production_Data!$C:$C,$I33,Production_Data!$F:$F,P$21,Production_Data!$D:$D,P$22)</f>
        <v>0</v>
      </c>
      <c r="Q33" s="16">
        <f>sumifs(Production_Data!$G:$G,Production_Data!$C:$C,$I33,Production_Data!$F:$F,Q$21,Production_Data!$D:$D,Q$22)</f>
        <v>0</v>
      </c>
      <c r="R33" s="17">
        <f t="shared" si="6"/>
        <v>11160</v>
      </c>
      <c r="S33" s="10"/>
      <c r="T33" s="10"/>
      <c r="U33" s="10"/>
      <c r="V33" s="10"/>
      <c r="W33" s="10"/>
      <c r="X33" s="10"/>
    </row>
    <row r="34">
      <c r="A34" s="14"/>
      <c r="B34" s="15" t="s">
        <v>42</v>
      </c>
      <c r="C34" s="16">
        <f>sumifs(Production_Data!$G:$G,Production_Data!$C:$C,$I34,Production_Data!$F:$F,C$22)</f>
        <v>12807</v>
      </c>
      <c r="D34" s="16">
        <f>sumifs(Production_Data!$G:$G,Production_Data!$C:$C,$I34,Production_Data!$F:$F,D$22)</f>
        <v>0</v>
      </c>
      <c r="E34" s="16">
        <f>sumifs(Production_Data!$G:$G,Production_Data!$C:$C,$I34,Production_Data!$F:$F,E$22)</f>
        <v>0</v>
      </c>
      <c r="F34" s="16">
        <f>sumifs(Production_Data!$G:$G,Production_Data!$C:$C,$I34,Production_Data!$F:$F,F$22)</f>
        <v>0</v>
      </c>
      <c r="G34" s="17">
        <f t="shared" si="5"/>
        <v>12807</v>
      </c>
      <c r="H34" s="10"/>
      <c r="I34" s="15" t="s">
        <v>42</v>
      </c>
      <c r="J34" s="16">
        <f>sumifs(Production_Data!$G:$G,Production_Data!$C:$C,$I34,Production_Data!$F:$F,J$21,Production_Data!$D:$D,J$22)</f>
        <v>0</v>
      </c>
      <c r="K34" s="16">
        <f>sumifs(Production_Data!$G:$G,Production_Data!$C:$C,$I34,Production_Data!$F:$F,K$21,Production_Data!$D:$D,K$22)</f>
        <v>12807</v>
      </c>
      <c r="L34" s="16">
        <f>sumifs(Production_Data!$G:$G,Production_Data!$C:$C,$I34,Production_Data!$F:$F,L$21,Production_Data!$D:$D,L$22)</f>
        <v>0</v>
      </c>
      <c r="M34" s="16">
        <f>sumifs(Production_Data!$G:$G,Production_Data!$C:$C,$I34,Production_Data!$F:$F,M$21,Production_Data!$D:$D,M$22)</f>
        <v>0</v>
      </c>
      <c r="N34" s="16">
        <f>sumifs(Production_Data!$G:$G,Production_Data!$C:$C,$I34,Production_Data!$F:$F,N$21,Production_Data!$D:$D,N$22)</f>
        <v>0</v>
      </c>
      <c r="O34" s="16">
        <f>sumifs(Production_Data!$G:$G,Production_Data!$C:$C,$I34,Production_Data!$F:$F,O$21,Production_Data!$D:$D,O$22)</f>
        <v>0</v>
      </c>
      <c r="P34" s="16">
        <f>sumifs(Production_Data!$G:$G,Production_Data!$C:$C,$I34,Production_Data!$F:$F,P$21,Production_Data!$D:$D,P$22)</f>
        <v>0</v>
      </c>
      <c r="Q34" s="16">
        <f>sumifs(Production_Data!$G:$G,Production_Data!$C:$C,$I34,Production_Data!$F:$F,Q$21,Production_Data!$D:$D,Q$22)</f>
        <v>0</v>
      </c>
      <c r="R34" s="17">
        <f t="shared" si="6"/>
        <v>12807</v>
      </c>
      <c r="S34" s="10"/>
      <c r="T34" s="10"/>
      <c r="U34" s="10"/>
      <c r="V34" s="10"/>
      <c r="W34" s="10"/>
      <c r="X34" s="10"/>
    </row>
    <row r="35">
      <c r="A35" s="14"/>
      <c r="B35" s="15" t="s">
        <v>43</v>
      </c>
      <c r="C35" s="16">
        <f>sumifs(Production_Data!$G:$G,Production_Data!$C:$C,$I35,Production_Data!$F:$F,C$22)</f>
        <v>13091</v>
      </c>
      <c r="D35" s="16">
        <f>sumifs(Production_Data!$G:$G,Production_Data!$C:$C,$I35,Production_Data!$F:$F,D$22)</f>
        <v>0</v>
      </c>
      <c r="E35" s="16">
        <f>sumifs(Production_Data!$G:$G,Production_Data!$C:$C,$I35,Production_Data!$F:$F,E$22)</f>
        <v>0</v>
      </c>
      <c r="F35" s="16">
        <f>sumifs(Production_Data!$G:$G,Production_Data!$C:$C,$I35,Production_Data!$F:$F,F$22)</f>
        <v>0</v>
      </c>
      <c r="G35" s="17">
        <f t="shared" si="5"/>
        <v>13091</v>
      </c>
      <c r="H35" s="10"/>
      <c r="I35" s="15" t="s">
        <v>43</v>
      </c>
      <c r="J35" s="16">
        <f>sumifs(Production_Data!$G:$G,Production_Data!$C:$C,$I35,Production_Data!$F:$F,J$21,Production_Data!$D:$D,J$22)</f>
        <v>0</v>
      </c>
      <c r="K35" s="16">
        <f>sumifs(Production_Data!$G:$G,Production_Data!$C:$C,$I35,Production_Data!$F:$F,K$21,Production_Data!$D:$D,K$22)</f>
        <v>13091</v>
      </c>
      <c r="L35" s="16">
        <f>sumifs(Production_Data!$G:$G,Production_Data!$C:$C,$I35,Production_Data!$F:$F,L$21,Production_Data!$D:$D,L$22)</f>
        <v>0</v>
      </c>
      <c r="M35" s="16">
        <f>sumifs(Production_Data!$G:$G,Production_Data!$C:$C,$I35,Production_Data!$F:$F,M$21,Production_Data!$D:$D,M$22)</f>
        <v>0</v>
      </c>
      <c r="N35" s="16">
        <f>sumifs(Production_Data!$G:$G,Production_Data!$C:$C,$I35,Production_Data!$F:$F,N$21,Production_Data!$D:$D,N$22)</f>
        <v>0</v>
      </c>
      <c r="O35" s="16">
        <f>sumifs(Production_Data!$G:$G,Production_Data!$C:$C,$I35,Production_Data!$F:$F,O$21,Production_Data!$D:$D,O$22)</f>
        <v>0</v>
      </c>
      <c r="P35" s="16">
        <f>sumifs(Production_Data!$G:$G,Production_Data!$C:$C,$I35,Production_Data!$F:$F,P$21,Production_Data!$D:$D,P$22)</f>
        <v>0</v>
      </c>
      <c r="Q35" s="16">
        <f>sumifs(Production_Data!$G:$G,Production_Data!$C:$C,$I35,Production_Data!$F:$F,Q$21,Production_Data!$D:$D,Q$22)</f>
        <v>0</v>
      </c>
      <c r="R35" s="17">
        <f t="shared" si="6"/>
        <v>13091</v>
      </c>
      <c r="S35" s="10"/>
      <c r="T35" s="10"/>
      <c r="U35" s="10"/>
      <c r="V35" s="10"/>
      <c r="W35" s="10"/>
      <c r="X35" s="10"/>
    </row>
    <row r="36">
      <c r="A36" s="14"/>
      <c r="B36" s="15" t="s">
        <v>44</v>
      </c>
      <c r="C36" s="16">
        <f>sumifs(Production_Data!$G:$G,Production_Data!$C:$C,$I36,Production_Data!$F:$F,C$22)</f>
        <v>14037</v>
      </c>
      <c r="D36" s="16">
        <f>sumifs(Production_Data!$G:$G,Production_Data!$C:$C,$I36,Production_Data!$F:$F,D$22)</f>
        <v>0</v>
      </c>
      <c r="E36" s="16">
        <f>sumifs(Production_Data!$G:$G,Production_Data!$C:$C,$I36,Production_Data!$F:$F,E$22)</f>
        <v>0</v>
      </c>
      <c r="F36" s="16">
        <f>sumifs(Production_Data!$G:$G,Production_Data!$C:$C,$I36,Production_Data!$F:$F,F$22)</f>
        <v>0</v>
      </c>
      <c r="G36" s="17">
        <f t="shared" si="5"/>
        <v>14037</v>
      </c>
      <c r="H36" s="10"/>
      <c r="I36" s="15" t="s">
        <v>44</v>
      </c>
      <c r="J36" s="16">
        <f>sumifs(Production_Data!$G:$G,Production_Data!$C:$C,$I36,Production_Data!$F:$F,J$21,Production_Data!$D:$D,J$22)</f>
        <v>0</v>
      </c>
      <c r="K36" s="16">
        <f>sumifs(Production_Data!$G:$G,Production_Data!$C:$C,$I36,Production_Data!$F:$F,K$21,Production_Data!$D:$D,K$22)</f>
        <v>14037</v>
      </c>
      <c r="L36" s="16">
        <f>sumifs(Production_Data!$G:$G,Production_Data!$C:$C,$I36,Production_Data!$F:$F,L$21,Production_Data!$D:$D,L$22)</f>
        <v>0</v>
      </c>
      <c r="M36" s="16">
        <f>sumifs(Production_Data!$G:$G,Production_Data!$C:$C,$I36,Production_Data!$F:$F,M$21,Production_Data!$D:$D,M$22)</f>
        <v>0</v>
      </c>
      <c r="N36" s="16">
        <f>sumifs(Production_Data!$G:$G,Production_Data!$C:$C,$I36,Production_Data!$F:$F,N$21,Production_Data!$D:$D,N$22)</f>
        <v>0</v>
      </c>
      <c r="O36" s="16">
        <f>sumifs(Production_Data!$G:$G,Production_Data!$C:$C,$I36,Production_Data!$F:$F,O$21,Production_Data!$D:$D,O$22)</f>
        <v>0</v>
      </c>
      <c r="P36" s="16">
        <f>sumifs(Production_Data!$G:$G,Production_Data!$C:$C,$I36,Production_Data!$F:$F,P$21,Production_Data!$D:$D,P$22)</f>
        <v>0</v>
      </c>
      <c r="Q36" s="16">
        <f>sumifs(Production_Data!$G:$G,Production_Data!$C:$C,$I36,Production_Data!$F:$F,Q$21,Production_Data!$D:$D,Q$22)</f>
        <v>0</v>
      </c>
      <c r="R36" s="17">
        <f t="shared" si="6"/>
        <v>14037</v>
      </c>
      <c r="S36" s="10"/>
      <c r="T36" s="10"/>
      <c r="U36" s="10"/>
      <c r="V36" s="10"/>
      <c r="W36" s="10"/>
      <c r="X36" s="10"/>
    </row>
    <row r="37">
      <c r="A37" s="14"/>
      <c r="B37" s="15" t="s">
        <v>45</v>
      </c>
      <c r="C37" s="16">
        <f>sumifs(Production_Data!$G:$G,Production_Data!$C:$C,$I37,Production_Data!$F:$F,C$22)</f>
        <v>15510</v>
      </c>
      <c r="D37" s="16">
        <f>sumifs(Production_Data!$G:$G,Production_Data!$C:$C,$I37,Production_Data!$F:$F,D$22)</f>
        <v>0</v>
      </c>
      <c r="E37" s="16">
        <f>sumifs(Production_Data!$G:$G,Production_Data!$C:$C,$I37,Production_Data!$F:$F,E$22)</f>
        <v>0</v>
      </c>
      <c r="F37" s="16">
        <f>sumifs(Production_Data!$G:$G,Production_Data!$C:$C,$I37,Production_Data!$F:$F,F$22)</f>
        <v>0</v>
      </c>
      <c r="G37" s="17">
        <f t="shared" si="5"/>
        <v>15510</v>
      </c>
      <c r="H37" s="10"/>
      <c r="I37" s="15" t="s">
        <v>45</v>
      </c>
      <c r="J37" s="16">
        <f>sumifs(Production_Data!$G:$G,Production_Data!$C:$C,$I37,Production_Data!$F:$F,J$21,Production_Data!$D:$D,J$22)</f>
        <v>0</v>
      </c>
      <c r="K37" s="16">
        <f>sumifs(Production_Data!$G:$G,Production_Data!$C:$C,$I37,Production_Data!$F:$F,K$21,Production_Data!$D:$D,K$22)</f>
        <v>15510</v>
      </c>
      <c r="L37" s="16">
        <f>sumifs(Production_Data!$G:$G,Production_Data!$C:$C,$I37,Production_Data!$F:$F,L$21,Production_Data!$D:$D,L$22)</f>
        <v>0</v>
      </c>
      <c r="M37" s="16">
        <f>sumifs(Production_Data!$G:$G,Production_Data!$C:$C,$I37,Production_Data!$F:$F,M$21,Production_Data!$D:$D,M$22)</f>
        <v>0</v>
      </c>
      <c r="N37" s="16">
        <f>sumifs(Production_Data!$G:$G,Production_Data!$C:$C,$I37,Production_Data!$F:$F,N$21,Production_Data!$D:$D,N$22)</f>
        <v>0</v>
      </c>
      <c r="O37" s="16">
        <f>sumifs(Production_Data!$G:$G,Production_Data!$C:$C,$I37,Production_Data!$F:$F,O$21,Production_Data!$D:$D,O$22)</f>
        <v>0</v>
      </c>
      <c r="P37" s="16">
        <f>sumifs(Production_Data!$G:$G,Production_Data!$C:$C,$I37,Production_Data!$F:$F,P$21,Production_Data!$D:$D,P$22)</f>
        <v>0</v>
      </c>
      <c r="Q37" s="16">
        <f>sumifs(Production_Data!$G:$G,Production_Data!$C:$C,$I37,Production_Data!$F:$F,Q$21,Production_Data!$D:$D,Q$22)</f>
        <v>0</v>
      </c>
      <c r="R37" s="17">
        <f t="shared" si="6"/>
        <v>15510</v>
      </c>
      <c r="S37" s="10"/>
      <c r="T37" s="10"/>
      <c r="U37" s="10"/>
      <c r="V37" s="10"/>
      <c r="W37" s="10"/>
      <c r="X37" s="10"/>
    </row>
    <row r="38">
      <c r="A38" s="14"/>
      <c r="B38" s="15" t="s">
        <v>46</v>
      </c>
      <c r="C38" s="16">
        <f>sumifs(Production_Data!$G:$G,Production_Data!$C:$C,$I38,Production_Data!$F:$F,C$22)</f>
        <v>18345</v>
      </c>
      <c r="D38" s="16">
        <f>sumifs(Production_Data!$G:$G,Production_Data!$C:$C,$I38,Production_Data!$F:$F,D$22)</f>
        <v>0</v>
      </c>
      <c r="E38" s="16">
        <f>sumifs(Production_Data!$G:$G,Production_Data!$C:$C,$I38,Production_Data!$F:$F,E$22)</f>
        <v>0</v>
      </c>
      <c r="F38" s="16">
        <f>sumifs(Production_Data!$G:$G,Production_Data!$C:$C,$I38,Production_Data!$F:$F,F$22)</f>
        <v>0</v>
      </c>
      <c r="G38" s="17">
        <f t="shared" si="5"/>
        <v>18345</v>
      </c>
      <c r="H38" s="10"/>
      <c r="I38" s="15" t="s">
        <v>46</v>
      </c>
      <c r="J38" s="16">
        <f>sumifs(Production_Data!$G:$G,Production_Data!$C:$C,$I38,Production_Data!$F:$F,J$21,Production_Data!$D:$D,J$22)</f>
        <v>0</v>
      </c>
      <c r="K38" s="16">
        <f>sumifs(Production_Data!$G:$G,Production_Data!$C:$C,$I38,Production_Data!$F:$F,K$21,Production_Data!$D:$D,K$22)</f>
        <v>18345</v>
      </c>
      <c r="L38" s="16">
        <f>sumifs(Production_Data!$G:$G,Production_Data!$C:$C,$I38,Production_Data!$F:$F,L$21,Production_Data!$D:$D,L$22)</f>
        <v>0</v>
      </c>
      <c r="M38" s="16">
        <f>sumifs(Production_Data!$G:$G,Production_Data!$C:$C,$I38,Production_Data!$F:$F,M$21,Production_Data!$D:$D,M$22)</f>
        <v>0</v>
      </c>
      <c r="N38" s="16">
        <f>sumifs(Production_Data!$G:$G,Production_Data!$C:$C,$I38,Production_Data!$F:$F,N$21,Production_Data!$D:$D,N$22)</f>
        <v>0</v>
      </c>
      <c r="O38" s="16">
        <f>sumifs(Production_Data!$G:$G,Production_Data!$C:$C,$I38,Production_Data!$F:$F,O$21,Production_Data!$D:$D,O$22)</f>
        <v>0</v>
      </c>
      <c r="P38" s="16">
        <f>sumifs(Production_Data!$G:$G,Production_Data!$C:$C,$I38,Production_Data!$F:$F,P$21,Production_Data!$D:$D,P$22)</f>
        <v>0</v>
      </c>
      <c r="Q38" s="16">
        <f>sumifs(Production_Data!$G:$G,Production_Data!$C:$C,$I38,Production_Data!$F:$F,Q$21,Production_Data!$D:$D,Q$22)</f>
        <v>0</v>
      </c>
      <c r="R38" s="17">
        <f t="shared" si="6"/>
        <v>18345</v>
      </c>
      <c r="S38" s="10"/>
      <c r="T38" s="10"/>
      <c r="U38" s="10"/>
      <c r="V38" s="36"/>
      <c r="W38" s="10"/>
      <c r="X38" s="10"/>
    </row>
    <row r="39">
      <c r="A39" s="14"/>
      <c r="B39" s="15" t="s">
        <v>47</v>
      </c>
      <c r="C39" s="16">
        <f>sumifs(Production_Data!$G:$G,Production_Data!$C:$C,$I39,Production_Data!$F:$F,C$22)</f>
        <v>25185</v>
      </c>
      <c r="D39" s="16">
        <f>sumifs(Production_Data!$G:$G,Production_Data!$C:$C,$I39,Production_Data!$F:$F,D$22)</f>
        <v>0</v>
      </c>
      <c r="E39" s="16">
        <f>sumifs(Production_Data!$G:$G,Production_Data!$C:$C,$I39,Production_Data!$F:$F,E$22)</f>
        <v>0</v>
      </c>
      <c r="F39" s="16">
        <f>sumifs(Production_Data!$G:$G,Production_Data!$C:$C,$I39,Production_Data!$F:$F,F$22)</f>
        <v>0</v>
      </c>
      <c r="G39" s="17">
        <f t="shared" si="5"/>
        <v>25185</v>
      </c>
      <c r="H39" s="10"/>
      <c r="I39" s="15" t="s">
        <v>47</v>
      </c>
      <c r="J39" s="16">
        <f>sumifs(Production_Data!$G:$G,Production_Data!$C:$C,$I39,Production_Data!$F:$F,J$21,Production_Data!$D:$D,J$22)</f>
        <v>0</v>
      </c>
      <c r="K39" s="16">
        <f>sumifs(Production_Data!$G:$G,Production_Data!$C:$C,$I39,Production_Data!$F:$F,K$21,Production_Data!$D:$D,K$22)</f>
        <v>25185</v>
      </c>
      <c r="L39" s="16">
        <f>sumifs(Production_Data!$G:$G,Production_Data!$C:$C,$I39,Production_Data!$F:$F,L$21,Production_Data!$D:$D,L$22)</f>
        <v>0</v>
      </c>
      <c r="M39" s="16">
        <f>sumifs(Production_Data!$G:$G,Production_Data!$C:$C,$I39,Production_Data!$F:$F,M$21,Production_Data!$D:$D,M$22)</f>
        <v>0</v>
      </c>
      <c r="N39" s="16">
        <f>sumifs(Production_Data!$G:$G,Production_Data!$C:$C,$I39,Production_Data!$F:$F,N$21,Production_Data!$D:$D,N$22)</f>
        <v>0</v>
      </c>
      <c r="O39" s="16">
        <f>sumifs(Production_Data!$G:$G,Production_Data!$C:$C,$I39,Production_Data!$F:$F,O$21,Production_Data!$D:$D,O$22)</f>
        <v>0</v>
      </c>
      <c r="P39" s="16">
        <f>sumifs(Production_Data!$G:$G,Production_Data!$C:$C,$I39,Production_Data!$F:$F,P$21,Production_Data!$D:$D,P$22)</f>
        <v>0</v>
      </c>
      <c r="Q39" s="16">
        <f>sumifs(Production_Data!$G:$G,Production_Data!$C:$C,$I39,Production_Data!$F:$F,Q$21,Production_Data!$D:$D,Q$22)</f>
        <v>0</v>
      </c>
      <c r="R39" s="17">
        <f t="shared" si="6"/>
        <v>25185</v>
      </c>
      <c r="S39" s="10"/>
      <c r="T39" s="10"/>
      <c r="U39" s="10"/>
      <c r="V39" s="10"/>
      <c r="W39" s="10"/>
      <c r="X39" s="10"/>
    </row>
    <row r="40">
      <c r="A40" s="14"/>
      <c r="B40" s="15" t="s">
        <v>48</v>
      </c>
      <c r="C40" s="16">
        <f>sumifs(Production_Data!$G:$G,Production_Data!$C:$C,$I40,Production_Data!$F:$F,C$22)</f>
        <v>24882</v>
      </c>
      <c r="D40" s="16">
        <f>sumifs(Production_Data!$G:$G,Production_Data!$C:$C,$I40,Production_Data!$F:$F,D$22)</f>
        <v>0</v>
      </c>
      <c r="E40" s="16">
        <f>sumifs(Production_Data!$G:$G,Production_Data!$C:$C,$I40,Production_Data!$F:$F,E$22)</f>
        <v>0</v>
      </c>
      <c r="F40" s="16">
        <f>sumifs(Production_Data!$G:$G,Production_Data!$C:$C,$I40,Production_Data!$F:$F,F$22)</f>
        <v>0</v>
      </c>
      <c r="G40" s="17">
        <f t="shared" si="5"/>
        <v>24882</v>
      </c>
      <c r="H40" s="10"/>
      <c r="I40" s="15" t="s">
        <v>48</v>
      </c>
      <c r="J40" s="16">
        <f>sumifs(Production_Data!$G:$G,Production_Data!$C:$C,$I40,Production_Data!$F:$F,J$21,Production_Data!$D:$D,J$22)</f>
        <v>0</v>
      </c>
      <c r="K40" s="16">
        <f>sumifs(Production_Data!$G:$G,Production_Data!$C:$C,$I40,Production_Data!$F:$F,K$21,Production_Data!$D:$D,K$22)</f>
        <v>24882</v>
      </c>
      <c r="L40" s="16">
        <f>sumifs(Production_Data!$G:$G,Production_Data!$C:$C,$I40,Production_Data!$F:$F,L$21,Production_Data!$D:$D,L$22)</f>
        <v>0</v>
      </c>
      <c r="M40" s="16">
        <f>sumifs(Production_Data!$G:$G,Production_Data!$C:$C,$I40,Production_Data!$F:$F,M$21,Production_Data!$D:$D,M$22)</f>
        <v>0</v>
      </c>
      <c r="N40" s="16">
        <f>sumifs(Production_Data!$G:$G,Production_Data!$C:$C,$I40,Production_Data!$F:$F,N$21,Production_Data!$D:$D,N$22)</f>
        <v>0</v>
      </c>
      <c r="O40" s="16">
        <f>sumifs(Production_Data!$G:$G,Production_Data!$C:$C,$I40,Production_Data!$F:$F,O$21,Production_Data!$D:$D,O$22)</f>
        <v>0</v>
      </c>
      <c r="P40" s="16">
        <f>sumifs(Production_Data!$G:$G,Production_Data!$C:$C,$I40,Production_Data!$F:$F,P$21,Production_Data!$D:$D,P$22)</f>
        <v>0</v>
      </c>
      <c r="Q40" s="16">
        <f>sumifs(Production_Data!$G:$G,Production_Data!$C:$C,$I40,Production_Data!$F:$F,Q$21,Production_Data!$D:$D,Q$22)</f>
        <v>0</v>
      </c>
      <c r="R40" s="17">
        <f t="shared" si="6"/>
        <v>24882</v>
      </c>
      <c r="S40" s="10"/>
      <c r="T40" s="10"/>
      <c r="U40" s="10"/>
      <c r="V40" s="10"/>
      <c r="W40" s="10"/>
      <c r="X40" s="10"/>
    </row>
    <row r="41">
      <c r="A41" s="14"/>
      <c r="B41" s="15" t="s">
        <v>49</v>
      </c>
      <c r="C41" s="16">
        <f>sumifs(Production_Data!$G:$G,Production_Data!$C:$C,$I41,Production_Data!$F:$F,C$22)</f>
        <v>25418</v>
      </c>
      <c r="D41" s="16">
        <f>sumifs(Production_Data!$G:$G,Production_Data!$C:$C,$I41,Production_Data!$F:$F,D$22)</f>
        <v>0</v>
      </c>
      <c r="E41" s="16">
        <f>sumifs(Production_Data!$G:$G,Production_Data!$C:$C,$I41,Production_Data!$F:$F,E$22)</f>
        <v>0</v>
      </c>
      <c r="F41" s="16">
        <f>sumifs(Production_Data!$G:$G,Production_Data!$C:$C,$I41,Production_Data!$F:$F,F$22)</f>
        <v>0</v>
      </c>
      <c r="G41" s="17">
        <f t="shared" si="5"/>
        <v>25418</v>
      </c>
      <c r="H41" s="10"/>
      <c r="I41" s="15" t="s">
        <v>49</v>
      </c>
      <c r="J41" s="16">
        <f>sumifs(Production_Data!$G:$G,Production_Data!$C:$C,$I41,Production_Data!$F:$F,J$21,Production_Data!$D:$D,J$22)</f>
        <v>0</v>
      </c>
      <c r="K41" s="16">
        <f>sumifs(Production_Data!$G:$G,Production_Data!$C:$C,$I41,Production_Data!$F:$F,K$21,Production_Data!$D:$D,K$22)</f>
        <v>25418</v>
      </c>
      <c r="L41" s="16">
        <f>sumifs(Production_Data!$G:$G,Production_Data!$C:$C,$I41,Production_Data!$F:$F,L$21,Production_Data!$D:$D,L$22)</f>
        <v>0</v>
      </c>
      <c r="M41" s="16">
        <f>sumifs(Production_Data!$G:$G,Production_Data!$C:$C,$I41,Production_Data!$F:$F,M$21,Production_Data!$D:$D,M$22)</f>
        <v>0</v>
      </c>
      <c r="N41" s="16">
        <f>sumifs(Production_Data!$G:$G,Production_Data!$C:$C,$I41,Production_Data!$F:$F,N$21,Production_Data!$D:$D,N$22)</f>
        <v>0</v>
      </c>
      <c r="O41" s="16">
        <f>sumifs(Production_Data!$G:$G,Production_Data!$C:$C,$I41,Production_Data!$F:$F,O$21,Production_Data!$D:$D,O$22)</f>
        <v>0</v>
      </c>
      <c r="P41" s="16">
        <f>sumifs(Production_Data!$G:$G,Production_Data!$C:$C,$I41,Production_Data!$F:$F,P$21,Production_Data!$D:$D,P$22)</f>
        <v>0</v>
      </c>
      <c r="Q41" s="16">
        <f>sumifs(Production_Data!$G:$G,Production_Data!$C:$C,$I41,Production_Data!$F:$F,Q$21,Production_Data!$D:$D,Q$22)</f>
        <v>0</v>
      </c>
      <c r="R41" s="17">
        <f t="shared" si="6"/>
        <v>25418</v>
      </c>
      <c r="S41" s="10"/>
      <c r="T41" s="10"/>
      <c r="U41" s="10"/>
      <c r="V41" s="10"/>
      <c r="W41" s="10"/>
      <c r="X41" s="10"/>
    </row>
    <row r="42">
      <c r="A42" s="14"/>
      <c r="B42" s="15" t="s">
        <v>50</v>
      </c>
      <c r="C42" s="16">
        <f>sumifs(Production_Data!$G:$G,Production_Data!$C:$C,$I42,Production_Data!$F:$F,C$22)</f>
        <v>25708</v>
      </c>
      <c r="D42" s="16">
        <f>sumifs(Production_Data!$G:$G,Production_Data!$C:$C,$I42,Production_Data!$F:$F,D$22)</f>
        <v>0</v>
      </c>
      <c r="E42" s="16">
        <f>sumifs(Production_Data!$G:$G,Production_Data!$C:$C,$I42,Production_Data!$F:$F,E$22)</f>
        <v>0</v>
      </c>
      <c r="F42" s="16">
        <f>sumifs(Production_Data!$G:$G,Production_Data!$C:$C,$I42,Production_Data!$F:$F,F$22)</f>
        <v>0</v>
      </c>
      <c r="G42" s="17">
        <f t="shared" si="5"/>
        <v>25708</v>
      </c>
      <c r="H42" s="10"/>
      <c r="I42" s="15" t="s">
        <v>50</v>
      </c>
      <c r="J42" s="16">
        <f>sumifs(Production_Data!$G:$G,Production_Data!$C:$C,$I42,Production_Data!$F:$F,J$21,Production_Data!$D:$D,J$22)</f>
        <v>0</v>
      </c>
      <c r="K42" s="16">
        <f>sumifs(Production_Data!$G:$G,Production_Data!$C:$C,$I42,Production_Data!$F:$F,K$21,Production_Data!$D:$D,K$22)</f>
        <v>25708</v>
      </c>
      <c r="L42" s="16">
        <f>sumifs(Production_Data!$G:$G,Production_Data!$C:$C,$I42,Production_Data!$F:$F,L$21,Production_Data!$D:$D,L$22)</f>
        <v>0</v>
      </c>
      <c r="M42" s="16">
        <f>sumifs(Production_Data!$G:$G,Production_Data!$C:$C,$I42,Production_Data!$F:$F,M$21,Production_Data!$D:$D,M$22)</f>
        <v>0</v>
      </c>
      <c r="N42" s="16">
        <f>sumifs(Production_Data!$G:$G,Production_Data!$C:$C,$I42,Production_Data!$F:$F,N$21,Production_Data!$D:$D,N$22)</f>
        <v>0</v>
      </c>
      <c r="O42" s="16">
        <f>sumifs(Production_Data!$G:$G,Production_Data!$C:$C,$I42,Production_Data!$F:$F,O$21,Production_Data!$D:$D,O$22)</f>
        <v>0</v>
      </c>
      <c r="P42" s="16">
        <f>sumifs(Production_Data!$G:$G,Production_Data!$C:$C,$I42,Production_Data!$F:$F,P$21,Production_Data!$D:$D,P$22)</f>
        <v>0</v>
      </c>
      <c r="Q42" s="16">
        <f>sumifs(Production_Data!$G:$G,Production_Data!$C:$C,$I42,Production_Data!$F:$F,Q$21,Production_Data!$D:$D,Q$22)</f>
        <v>0</v>
      </c>
      <c r="R42" s="17">
        <f t="shared" si="6"/>
        <v>25708</v>
      </c>
      <c r="S42" s="10"/>
      <c r="T42" s="10"/>
      <c r="U42" s="10"/>
      <c r="V42" s="10"/>
      <c r="W42" s="10"/>
      <c r="X42" s="10"/>
    </row>
    <row r="43">
      <c r="A43" s="14"/>
      <c r="B43" s="15" t="s">
        <v>51</v>
      </c>
      <c r="C43" s="16">
        <f>sumifs(Production_Data!$G:$G,Production_Data!$C:$C,$I43,Production_Data!$F:$F,C$22)</f>
        <v>25336</v>
      </c>
      <c r="D43" s="16">
        <f>sumifs(Production_Data!$G:$G,Production_Data!$C:$C,$I43,Production_Data!$F:$F,D$22)</f>
        <v>0</v>
      </c>
      <c r="E43" s="16">
        <f>sumifs(Production_Data!$G:$G,Production_Data!$C:$C,$I43,Production_Data!$F:$F,E$22)</f>
        <v>0</v>
      </c>
      <c r="F43" s="16">
        <f>sumifs(Production_Data!$G:$G,Production_Data!$C:$C,$I43,Production_Data!$F:$F,F$22)</f>
        <v>0</v>
      </c>
      <c r="G43" s="17">
        <f t="shared" si="5"/>
        <v>25336</v>
      </c>
      <c r="H43" s="10"/>
      <c r="I43" s="15" t="s">
        <v>51</v>
      </c>
      <c r="J43" s="16">
        <f>sumifs(Production_Data!$G:$G,Production_Data!$C:$C,$I43,Production_Data!$F:$F,J$21,Production_Data!$D:$D,J$22)</f>
        <v>260</v>
      </c>
      <c r="K43" s="16">
        <f>sumifs(Production_Data!$G:$G,Production_Data!$C:$C,$I43,Production_Data!$F:$F,K$21,Production_Data!$D:$D,K$22)</f>
        <v>25076</v>
      </c>
      <c r="L43" s="16">
        <f>sumifs(Production_Data!$G:$G,Production_Data!$C:$C,$I43,Production_Data!$F:$F,L$21,Production_Data!$D:$D,L$22)</f>
        <v>0</v>
      </c>
      <c r="M43" s="16">
        <f>sumifs(Production_Data!$G:$G,Production_Data!$C:$C,$I43,Production_Data!$F:$F,M$21,Production_Data!$D:$D,M$22)</f>
        <v>0</v>
      </c>
      <c r="N43" s="16">
        <f>sumifs(Production_Data!$G:$G,Production_Data!$C:$C,$I43,Production_Data!$F:$F,N$21,Production_Data!$D:$D,N$22)</f>
        <v>0</v>
      </c>
      <c r="O43" s="16">
        <f>sumifs(Production_Data!$G:$G,Production_Data!$C:$C,$I43,Production_Data!$F:$F,O$21,Production_Data!$D:$D,O$22)</f>
        <v>0</v>
      </c>
      <c r="P43" s="16">
        <f>sumifs(Production_Data!$G:$G,Production_Data!$C:$C,$I43,Production_Data!$F:$F,P$21,Production_Data!$D:$D,P$22)</f>
        <v>0</v>
      </c>
      <c r="Q43" s="16">
        <f>sumifs(Production_Data!$G:$G,Production_Data!$C:$C,$I43,Production_Data!$F:$F,Q$21,Production_Data!$D:$D,Q$22)</f>
        <v>0</v>
      </c>
      <c r="R43" s="17">
        <f t="shared" si="6"/>
        <v>25336</v>
      </c>
      <c r="S43" s="10"/>
      <c r="T43" s="10"/>
      <c r="U43" s="10"/>
      <c r="V43" s="10"/>
      <c r="W43" s="10"/>
      <c r="X43" s="10"/>
    </row>
    <row r="44">
      <c r="A44" s="14"/>
      <c r="B44" s="15" t="s">
        <v>52</v>
      </c>
      <c r="C44" s="16">
        <f>sumifs(Production_Data!$G:$G,Production_Data!$C:$C,$I44,Production_Data!$F:$F,C$22)</f>
        <v>24565</v>
      </c>
      <c r="D44" s="16">
        <f>sumifs(Production_Data!$G:$G,Production_Data!$C:$C,$I44,Production_Data!$F:$F,D$22)</f>
        <v>0</v>
      </c>
      <c r="E44" s="16">
        <f>sumifs(Production_Data!$G:$G,Production_Data!$C:$C,$I44,Production_Data!$F:$F,E$22)</f>
        <v>0</v>
      </c>
      <c r="F44" s="16">
        <f>sumifs(Production_Data!$G:$G,Production_Data!$C:$C,$I44,Production_Data!$F:$F,F$22)</f>
        <v>0</v>
      </c>
      <c r="G44" s="17">
        <f t="shared" si="5"/>
        <v>24565</v>
      </c>
      <c r="H44" s="10"/>
      <c r="I44" s="15" t="s">
        <v>52</v>
      </c>
      <c r="J44" s="16">
        <f>sumifs(Production_Data!$G:$G,Production_Data!$C:$C,$I44,Production_Data!$F:$F,J$21,Production_Data!$D:$D,J$22)</f>
        <v>2425</v>
      </c>
      <c r="K44" s="16">
        <f>sumifs(Production_Data!$G:$G,Production_Data!$C:$C,$I44,Production_Data!$F:$F,K$21,Production_Data!$D:$D,K$22)</f>
        <v>22140</v>
      </c>
      <c r="L44" s="16">
        <f>sumifs(Production_Data!$G:$G,Production_Data!$C:$C,$I44,Production_Data!$F:$F,L$21,Production_Data!$D:$D,L$22)</f>
        <v>0</v>
      </c>
      <c r="M44" s="16">
        <f>sumifs(Production_Data!$G:$G,Production_Data!$C:$C,$I44,Production_Data!$F:$F,M$21,Production_Data!$D:$D,M$22)</f>
        <v>0</v>
      </c>
      <c r="N44" s="16">
        <f>sumifs(Production_Data!$G:$G,Production_Data!$C:$C,$I44,Production_Data!$F:$F,N$21,Production_Data!$D:$D,N$22)</f>
        <v>0</v>
      </c>
      <c r="O44" s="16">
        <f>sumifs(Production_Data!$G:$G,Production_Data!$C:$C,$I44,Production_Data!$F:$F,O$21,Production_Data!$D:$D,O$22)</f>
        <v>0</v>
      </c>
      <c r="P44" s="16">
        <f>sumifs(Production_Data!$G:$G,Production_Data!$C:$C,$I44,Production_Data!$F:$F,P$21,Production_Data!$D:$D,P$22)</f>
        <v>0</v>
      </c>
      <c r="Q44" s="16">
        <f>sumifs(Production_Data!$G:$G,Production_Data!$C:$C,$I44,Production_Data!$F:$F,Q$21,Production_Data!$D:$D,Q$22)</f>
        <v>0</v>
      </c>
      <c r="R44" s="17">
        <f t="shared" si="6"/>
        <v>24565</v>
      </c>
      <c r="S44" s="10"/>
      <c r="T44" s="10"/>
      <c r="U44" s="10"/>
      <c r="V44" s="10"/>
      <c r="W44" s="10"/>
      <c r="X44" s="10"/>
    </row>
    <row r="45">
      <c r="A45" s="14"/>
      <c r="B45" s="15" t="s">
        <v>53</v>
      </c>
      <c r="C45" s="16">
        <f>sumifs(Production_Data!$G:$G,Production_Data!$C:$C,$I45,Production_Data!$F:$F,C$22)</f>
        <v>34494</v>
      </c>
      <c r="D45" s="16">
        <f>sumifs(Production_Data!$G:$G,Production_Data!$C:$C,$I45,Production_Data!$F:$F,D$22)</f>
        <v>0</v>
      </c>
      <c r="E45" s="16">
        <f>sumifs(Production_Data!$G:$G,Production_Data!$C:$C,$I45,Production_Data!$F:$F,E$22)</f>
        <v>0</v>
      </c>
      <c r="F45" s="16">
        <f>sumifs(Production_Data!$G:$G,Production_Data!$C:$C,$I45,Production_Data!$F:$F,F$22)</f>
        <v>0</v>
      </c>
      <c r="G45" s="17">
        <f t="shared" si="5"/>
        <v>34494</v>
      </c>
      <c r="H45" s="10"/>
      <c r="I45" s="15" t="s">
        <v>53</v>
      </c>
      <c r="J45" s="16">
        <f>sumifs(Production_Data!$G:$G,Production_Data!$C:$C,$I45,Production_Data!$F:$F,J$21,Production_Data!$D:$D,J$22)</f>
        <v>9766</v>
      </c>
      <c r="K45" s="16">
        <f>sumifs(Production_Data!$G:$G,Production_Data!$C:$C,$I45,Production_Data!$F:$F,K$21,Production_Data!$D:$D,K$22)</f>
        <v>24728</v>
      </c>
      <c r="L45" s="16">
        <f>sumifs(Production_Data!$G:$G,Production_Data!$C:$C,$I45,Production_Data!$F:$F,L$21,Production_Data!$D:$D,L$22)</f>
        <v>0</v>
      </c>
      <c r="M45" s="16">
        <f>sumifs(Production_Data!$G:$G,Production_Data!$C:$C,$I45,Production_Data!$F:$F,M$21,Production_Data!$D:$D,M$22)</f>
        <v>0</v>
      </c>
      <c r="N45" s="16">
        <f>sumifs(Production_Data!$G:$G,Production_Data!$C:$C,$I45,Production_Data!$F:$F,N$21,Production_Data!$D:$D,N$22)</f>
        <v>0</v>
      </c>
      <c r="O45" s="16">
        <f>sumifs(Production_Data!$G:$G,Production_Data!$C:$C,$I45,Production_Data!$F:$F,O$21,Production_Data!$D:$D,O$22)</f>
        <v>0</v>
      </c>
      <c r="P45" s="16">
        <f>sumifs(Production_Data!$G:$G,Production_Data!$C:$C,$I45,Production_Data!$F:$F,P$21,Production_Data!$D:$D,P$22)</f>
        <v>0</v>
      </c>
      <c r="Q45" s="16">
        <f>sumifs(Production_Data!$G:$G,Production_Data!$C:$C,$I45,Production_Data!$F:$F,Q$21,Production_Data!$D:$D,Q$22)</f>
        <v>0</v>
      </c>
      <c r="R45" s="17">
        <f t="shared" si="6"/>
        <v>34494</v>
      </c>
      <c r="S45" s="10"/>
      <c r="T45" s="10"/>
      <c r="U45" s="10"/>
      <c r="V45" s="10"/>
      <c r="W45" s="10"/>
      <c r="X45" s="10"/>
    </row>
    <row r="46">
      <c r="A46" s="14"/>
      <c r="B46" s="15" t="s">
        <v>54</v>
      </c>
      <c r="C46" s="16">
        <f>sumifs(Production_Data!$G:$G,Production_Data!$C:$C,$I46,Production_Data!$F:$F,C$22)</f>
        <v>53339</v>
      </c>
      <c r="D46" s="16">
        <f>sumifs(Production_Data!$G:$G,Production_Data!$C:$C,$I46,Production_Data!$F:$F,D$22)</f>
        <v>0</v>
      </c>
      <c r="E46" s="16">
        <f>sumifs(Production_Data!$G:$G,Production_Data!$C:$C,$I46,Production_Data!$F:$F,E$22)</f>
        <v>0</v>
      </c>
      <c r="F46" s="16">
        <f>sumifs(Production_Data!$G:$G,Production_Data!$C:$C,$I46,Production_Data!$F:$F,F$22)</f>
        <v>0</v>
      </c>
      <c r="G46" s="17">
        <f t="shared" si="5"/>
        <v>53339</v>
      </c>
      <c r="H46" s="10"/>
      <c r="I46" s="15" t="s">
        <v>54</v>
      </c>
      <c r="J46" s="16">
        <f>sumifs(Production_Data!$G:$G,Production_Data!$C:$C,$I46,Production_Data!$F:$F,J$21,Production_Data!$D:$D,J$22)</f>
        <v>28578</v>
      </c>
      <c r="K46" s="16">
        <f>sumifs(Production_Data!$G:$G,Production_Data!$C:$C,$I46,Production_Data!$F:$F,K$21,Production_Data!$D:$D,K$22)</f>
        <v>24761</v>
      </c>
      <c r="L46" s="16">
        <f>sumifs(Production_Data!$G:$G,Production_Data!$C:$C,$I46,Production_Data!$F:$F,L$21,Production_Data!$D:$D,L$22)</f>
        <v>0</v>
      </c>
      <c r="M46" s="16">
        <f>sumifs(Production_Data!$G:$G,Production_Data!$C:$C,$I46,Production_Data!$F:$F,M$21,Production_Data!$D:$D,M$22)</f>
        <v>0</v>
      </c>
      <c r="N46" s="16">
        <f>sumifs(Production_Data!$G:$G,Production_Data!$C:$C,$I46,Production_Data!$F:$F,N$21,Production_Data!$D:$D,N$22)</f>
        <v>0</v>
      </c>
      <c r="O46" s="16">
        <f>sumifs(Production_Data!$G:$G,Production_Data!$C:$C,$I46,Production_Data!$F:$F,O$21,Production_Data!$D:$D,O$22)</f>
        <v>0</v>
      </c>
      <c r="P46" s="16">
        <f>sumifs(Production_Data!$G:$G,Production_Data!$C:$C,$I46,Production_Data!$F:$F,P$21,Production_Data!$D:$D,P$22)</f>
        <v>0</v>
      </c>
      <c r="Q46" s="16">
        <f>sumifs(Production_Data!$G:$G,Production_Data!$C:$C,$I46,Production_Data!$F:$F,Q$21,Production_Data!$D:$D,Q$22)</f>
        <v>0</v>
      </c>
      <c r="R46" s="17">
        <f t="shared" si="6"/>
        <v>53339</v>
      </c>
      <c r="S46" s="10"/>
      <c r="T46" s="10"/>
      <c r="U46" s="10"/>
      <c r="V46" s="10"/>
      <c r="W46" s="10"/>
      <c r="X46" s="10"/>
    </row>
    <row r="47">
      <c r="A47" s="14"/>
      <c r="B47" s="15" t="s">
        <v>55</v>
      </c>
      <c r="C47" s="16">
        <f>sumifs(Production_Data!$G:$G,Production_Data!$C:$C,$I47,Production_Data!$F:$F,C$22)</f>
        <v>80142</v>
      </c>
      <c r="D47" s="16">
        <f>sumifs(Production_Data!$G:$G,Production_Data!$C:$C,$I47,Production_Data!$F:$F,D$22)</f>
        <v>0</v>
      </c>
      <c r="E47" s="16">
        <f>sumifs(Production_Data!$G:$G,Production_Data!$C:$C,$I47,Production_Data!$F:$F,E$22)</f>
        <v>0</v>
      </c>
      <c r="F47" s="16">
        <f>sumifs(Production_Data!$G:$G,Production_Data!$C:$C,$I47,Production_Data!$F:$F,F$22)</f>
        <v>0</v>
      </c>
      <c r="G47" s="17">
        <f t="shared" si="5"/>
        <v>80142</v>
      </c>
      <c r="H47" s="10"/>
      <c r="I47" s="15" t="s">
        <v>55</v>
      </c>
      <c r="J47" s="16">
        <f>sumifs(Production_Data!$G:$G,Production_Data!$C:$C,$I47,Production_Data!$F:$F,J$21,Production_Data!$D:$D,J$22)</f>
        <v>53239</v>
      </c>
      <c r="K47" s="16">
        <f>sumifs(Production_Data!$G:$G,Production_Data!$C:$C,$I47,Production_Data!$F:$F,K$21,Production_Data!$D:$D,K$22)</f>
        <v>26903</v>
      </c>
      <c r="L47" s="16">
        <f>sumifs(Production_Data!$G:$G,Production_Data!$C:$C,$I47,Production_Data!$F:$F,L$21,Production_Data!$D:$D,L$22)</f>
        <v>0</v>
      </c>
      <c r="M47" s="16">
        <f>sumifs(Production_Data!$G:$G,Production_Data!$C:$C,$I47,Production_Data!$F:$F,M$21,Production_Data!$D:$D,M$22)</f>
        <v>0</v>
      </c>
      <c r="N47" s="16">
        <f>sumifs(Production_Data!$G:$G,Production_Data!$C:$C,$I47,Production_Data!$F:$F,N$21,Production_Data!$D:$D,N$22)</f>
        <v>0</v>
      </c>
      <c r="O47" s="16">
        <f>sumifs(Production_Data!$G:$G,Production_Data!$C:$C,$I47,Production_Data!$F:$F,O$21,Production_Data!$D:$D,O$22)</f>
        <v>0</v>
      </c>
      <c r="P47" s="16">
        <f>sumifs(Production_Data!$G:$G,Production_Data!$C:$C,$I47,Production_Data!$F:$F,P$21,Production_Data!$D:$D,P$22)</f>
        <v>0</v>
      </c>
      <c r="Q47" s="16">
        <f>sumifs(Production_Data!$G:$G,Production_Data!$C:$C,$I47,Production_Data!$F:$F,Q$21,Production_Data!$D:$D,Q$22)</f>
        <v>0</v>
      </c>
      <c r="R47" s="17">
        <f t="shared" si="6"/>
        <v>80142</v>
      </c>
      <c r="S47" s="10"/>
      <c r="T47" s="10"/>
      <c r="U47" s="10"/>
      <c r="V47" s="10"/>
      <c r="W47" s="10"/>
      <c r="X47" s="10"/>
    </row>
    <row r="48">
      <c r="A48" s="14"/>
      <c r="B48" s="15" t="s">
        <v>56</v>
      </c>
      <c r="C48" s="16">
        <f>sumifs(Production_Data!$G:$G,Production_Data!$C:$C,$I48,Production_Data!$F:$F,C$22)</f>
        <v>86555</v>
      </c>
      <c r="D48" s="16">
        <f>sumifs(Production_Data!$G:$G,Production_Data!$C:$C,$I48,Production_Data!$F:$F,D$22)</f>
        <v>0</v>
      </c>
      <c r="E48" s="16">
        <f>sumifs(Production_Data!$G:$G,Production_Data!$C:$C,$I48,Production_Data!$F:$F,E$22)</f>
        <v>0</v>
      </c>
      <c r="F48" s="16">
        <f>sumifs(Production_Data!$G:$G,Production_Data!$C:$C,$I48,Production_Data!$F:$F,F$22)</f>
        <v>0</v>
      </c>
      <c r="G48" s="17">
        <f t="shared" si="5"/>
        <v>86555</v>
      </c>
      <c r="H48" s="10"/>
      <c r="I48" s="15" t="s">
        <v>56</v>
      </c>
      <c r="J48" s="16">
        <f>sumifs(Production_Data!$G:$G,Production_Data!$C:$C,$I48,Production_Data!$F:$F,J$21,Production_Data!$D:$D,J$22)</f>
        <v>61394</v>
      </c>
      <c r="K48" s="16">
        <f>sumifs(Production_Data!$G:$G,Production_Data!$C:$C,$I48,Production_Data!$F:$F,K$21,Production_Data!$D:$D,K$22)</f>
        <v>25161</v>
      </c>
      <c r="L48" s="16">
        <f>sumifs(Production_Data!$G:$G,Production_Data!$C:$C,$I48,Production_Data!$F:$F,L$21,Production_Data!$D:$D,L$22)</f>
        <v>0</v>
      </c>
      <c r="M48" s="16">
        <f>sumifs(Production_Data!$G:$G,Production_Data!$C:$C,$I48,Production_Data!$F:$F,M$21,Production_Data!$D:$D,M$22)</f>
        <v>0</v>
      </c>
      <c r="N48" s="16">
        <f>sumifs(Production_Data!$G:$G,Production_Data!$C:$C,$I48,Production_Data!$F:$F,N$21,Production_Data!$D:$D,N$22)</f>
        <v>0</v>
      </c>
      <c r="O48" s="16">
        <f>sumifs(Production_Data!$G:$G,Production_Data!$C:$C,$I48,Production_Data!$F:$F,O$21,Production_Data!$D:$D,O$22)</f>
        <v>0</v>
      </c>
      <c r="P48" s="16">
        <f>sumifs(Production_Data!$G:$G,Production_Data!$C:$C,$I48,Production_Data!$F:$F,P$21,Production_Data!$D:$D,P$22)</f>
        <v>0</v>
      </c>
      <c r="Q48" s="16">
        <f>sumifs(Production_Data!$G:$G,Production_Data!$C:$C,$I48,Production_Data!$F:$F,Q$21,Production_Data!$D:$D,Q$22)</f>
        <v>0</v>
      </c>
      <c r="R48" s="17">
        <f t="shared" si="6"/>
        <v>86555</v>
      </c>
      <c r="S48" s="10"/>
      <c r="T48" s="10"/>
      <c r="U48" s="10"/>
      <c r="V48" s="10"/>
      <c r="W48" s="10"/>
      <c r="X48" s="10"/>
    </row>
    <row r="49">
      <c r="A49" s="14"/>
      <c r="B49" s="15" t="s">
        <v>57</v>
      </c>
      <c r="C49" s="16">
        <f>sumifs(Production_Data!$G:$G,Production_Data!$C:$C,$I49,Production_Data!$F:$F,C$22)</f>
        <v>77138</v>
      </c>
      <c r="D49" s="16">
        <f>sumifs(Production_Data!$G:$G,Production_Data!$C:$C,$I49,Production_Data!$F:$F,D$22)</f>
        <v>0</v>
      </c>
      <c r="E49" s="16">
        <f>sumifs(Production_Data!$G:$G,Production_Data!$C:$C,$I49,Production_Data!$F:$F,E$22)</f>
        <v>0</v>
      </c>
      <c r="F49" s="16">
        <f>sumifs(Production_Data!$G:$G,Production_Data!$C:$C,$I49,Production_Data!$F:$F,F$22)</f>
        <v>0</v>
      </c>
      <c r="G49" s="17">
        <f t="shared" si="5"/>
        <v>77138</v>
      </c>
      <c r="H49" s="10"/>
      <c r="I49" s="15" t="s">
        <v>57</v>
      </c>
      <c r="J49" s="16">
        <f>sumifs(Production_Data!$G:$G,Production_Data!$C:$C,$I49,Production_Data!$F:$F,J$21,Production_Data!$D:$D,J$22)</f>
        <v>62975</v>
      </c>
      <c r="K49" s="16">
        <f>sumifs(Production_Data!$G:$G,Production_Data!$C:$C,$I49,Production_Data!$F:$F,K$21,Production_Data!$D:$D,K$22)</f>
        <v>14163</v>
      </c>
      <c r="L49" s="16">
        <f>sumifs(Production_Data!$G:$G,Production_Data!$C:$C,$I49,Production_Data!$F:$F,L$21,Production_Data!$D:$D,L$22)</f>
        <v>0</v>
      </c>
      <c r="M49" s="16">
        <f>sumifs(Production_Data!$G:$G,Production_Data!$C:$C,$I49,Production_Data!$F:$F,M$21,Production_Data!$D:$D,M$22)</f>
        <v>0</v>
      </c>
      <c r="N49" s="16">
        <f>sumifs(Production_Data!$G:$G,Production_Data!$C:$C,$I49,Production_Data!$F:$F,N$21,Production_Data!$D:$D,N$22)</f>
        <v>0</v>
      </c>
      <c r="O49" s="16">
        <f>sumifs(Production_Data!$G:$G,Production_Data!$C:$C,$I49,Production_Data!$F:$F,O$21,Production_Data!$D:$D,O$22)</f>
        <v>0</v>
      </c>
      <c r="P49" s="16">
        <f>sumifs(Production_Data!$G:$G,Production_Data!$C:$C,$I49,Production_Data!$F:$F,P$21,Production_Data!$D:$D,P$22)</f>
        <v>0</v>
      </c>
      <c r="Q49" s="16">
        <f>sumifs(Production_Data!$G:$G,Production_Data!$C:$C,$I49,Production_Data!$F:$F,Q$21,Production_Data!$D:$D,Q$22)</f>
        <v>0</v>
      </c>
      <c r="R49" s="17">
        <f t="shared" si="6"/>
        <v>77138</v>
      </c>
      <c r="S49" s="10"/>
      <c r="T49" s="10"/>
      <c r="U49" s="10"/>
      <c r="V49" s="10"/>
      <c r="W49" s="10"/>
      <c r="X49" s="10"/>
    </row>
    <row r="50">
      <c r="A50" s="14"/>
      <c r="B50" s="15" t="s">
        <v>58</v>
      </c>
      <c r="C50" s="16">
        <f>sumifs(Production_Data!$G:$G,Production_Data!$C:$C,$I50,Production_Data!$F:$F,C$22)</f>
        <v>87048</v>
      </c>
      <c r="D50" s="16">
        <f>sumifs(Production_Data!$G:$G,Production_Data!$C:$C,$I50,Production_Data!$F:$F,D$22)</f>
        <v>0</v>
      </c>
      <c r="E50" s="16">
        <f>sumifs(Production_Data!$G:$G,Production_Data!$C:$C,$I50,Production_Data!$F:$F,E$22)</f>
        <v>0</v>
      </c>
      <c r="F50" s="16">
        <f>sumifs(Production_Data!$G:$G,Production_Data!$C:$C,$I50,Production_Data!$F:$F,F$22)</f>
        <v>0</v>
      </c>
      <c r="G50" s="17">
        <f t="shared" si="5"/>
        <v>87048</v>
      </c>
      <c r="H50" s="10"/>
      <c r="I50" s="15" t="s">
        <v>58</v>
      </c>
      <c r="J50" s="16">
        <f>sumifs(Production_Data!$G:$G,Production_Data!$C:$C,$I50,Production_Data!$F:$F,J$21,Production_Data!$D:$D,J$22)</f>
        <v>72531</v>
      </c>
      <c r="K50" s="16">
        <f>sumifs(Production_Data!$G:$G,Production_Data!$C:$C,$I50,Production_Data!$F:$F,K$21,Production_Data!$D:$D,K$22)</f>
        <v>14517</v>
      </c>
      <c r="L50" s="16">
        <f>sumifs(Production_Data!$G:$G,Production_Data!$C:$C,$I50,Production_Data!$F:$F,L$21,Production_Data!$D:$D,L$22)</f>
        <v>0</v>
      </c>
      <c r="M50" s="16">
        <f>sumifs(Production_Data!$G:$G,Production_Data!$C:$C,$I50,Production_Data!$F:$F,M$21,Production_Data!$D:$D,M$22)</f>
        <v>0</v>
      </c>
      <c r="N50" s="16">
        <f>sumifs(Production_Data!$G:$G,Production_Data!$C:$C,$I50,Production_Data!$F:$F,N$21,Production_Data!$D:$D,N$22)</f>
        <v>0</v>
      </c>
      <c r="O50" s="16">
        <f>sumifs(Production_Data!$G:$G,Production_Data!$C:$C,$I50,Production_Data!$F:$F,O$21,Production_Data!$D:$D,O$22)</f>
        <v>0</v>
      </c>
      <c r="P50" s="16">
        <f>sumifs(Production_Data!$G:$G,Production_Data!$C:$C,$I50,Production_Data!$F:$F,P$21,Production_Data!$D:$D,P$22)</f>
        <v>0</v>
      </c>
      <c r="Q50" s="16">
        <f>sumifs(Production_Data!$G:$G,Production_Data!$C:$C,$I50,Production_Data!$F:$F,Q$21,Production_Data!$D:$D,Q$22)</f>
        <v>0</v>
      </c>
      <c r="R50" s="17">
        <f t="shared" si="6"/>
        <v>87048</v>
      </c>
      <c r="S50" s="10"/>
      <c r="T50" s="10"/>
      <c r="U50" s="10"/>
      <c r="V50" s="10"/>
      <c r="W50" s="10"/>
      <c r="X50" s="10"/>
    </row>
    <row r="51">
      <c r="A51" s="14"/>
      <c r="B51" s="15" t="s">
        <v>59</v>
      </c>
      <c r="C51" s="16">
        <f>sumifs(Production_Data!$G:$G,Production_Data!$C:$C,$I51,Production_Data!$F:$F,C$22)</f>
        <v>96155</v>
      </c>
      <c r="D51" s="16">
        <f>sumifs(Production_Data!$G:$G,Production_Data!$C:$C,$I51,Production_Data!$F:$F,D$22)</f>
        <v>0</v>
      </c>
      <c r="E51" s="16">
        <f>sumifs(Production_Data!$G:$G,Production_Data!$C:$C,$I51,Production_Data!$F:$F,E$22)</f>
        <v>0</v>
      </c>
      <c r="F51" s="16">
        <f>sumifs(Production_Data!$G:$G,Production_Data!$C:$C,$I51,Production_Data!$F:$F,F$22)</f>
        <v>0</v>
      </c>
      <c r="G51" s="17">
        <f t="shared" si="5"/>
        <v>96155</v>
      </c>
      <c r="H51" s="10"/>
      <c r="I51" s="15" t="s">
        <v>59</v>
      </c>
      <c r="J51" s="16">
        <f>sumifs(Production_Data!$G:$G,Production_Data!$C:$C,$I51,Production_Data!$F:$F,J$21,Production_Data!$D:$D,J$22)</f>
        <v>79837</v>
      </c>
      <c r="K51" s="16">
        <f>sumifs(Production_Data!$G:$G,Production_Data!$C:$C,$I51,Production_Data!$F:$F,K$21,Production_Data!$D:$D,K$22)</f>
        <v>16318</v>
      </c>
      <c r="L51" s="16">
        <f>sumifs(Production_Data!$G:$G,Production_Data!$C:$C,$I51,Production_Data!$F:$F,L$21,Production_Data!$D:$D,L$22)</f>
        <v>0</v>
      </c>
      <c r="M51" s="16">
        <f>sumifs(Production_Data!$G:$G,Production_Data!$C:$C,$I51,Production_Data!$F:$F,M$21,Production_Data!$D:$D,M$22)</f>
        <v>0</v>
      </c>
      <c r="N51" s="16">
        <f>sumifs(Production_Data!$G:$G,Production_Data!$C:$C,$I51,Production_Data!$F:$F,N$21,Production_Data!$D:$D,N$22)</f>
        <v>0</v>
      </c>
      <c r="O51" s="16">
        <f>sumifs(Production_Data!$G:$G,Production_Data!$C:$C,$I51,Production_Data!$F:$F,O$21,Production_Data!$D:$D,O$22)</f>
        <v>0</v>
      </c>
      <c r="P51" s="16">
        <f>sumifs(Production_Data!$G:$G,Production_Data!$C:$C,$I51,Production_Data!$F:$F,P$21,Production_Data!$D:$D,P$22)</f>
        <v>0</v>
      </c>
      <c r="Q51" s="16">
        <f>sumifs(Production_Data!$G:$G,Production_Data!$C:$C,$I51,Production_Data!$F:$F,Q$21,Production_Data!$D:$D,Q$22)</f>
        <v>0</v>
      </c>
      <c r="R51" s="17">
        <f t="shared" si="6"/>
        <v>96155</v>
      </c>
      <c r="S51" s="10"/>
      <c r="T51" s="10"/>
      <c r="U51" s="10"/>
      <c r="V51" s="10"/>
      <c r="W51" s="10"/>
      <c r="X51" s="10"/>
    </row>
    <row r="52">
      <c r="A52" s="14"/>
      <c r="B52" s="15" t="s">
        <v>60</v>
      </c>
      <c r="C52" s="16">
        <f>sumifs(Production_Data!$G:$G,Production_Data!$C:$C,$I52,Production_Data!$F:$F,C$22)</f>
        <v>104891</v>
      </c>
      <c r="D52" s="16">
        <f>sumifs(Production_Data!$G:$G,Production_Data!$C:$C,$I52,Production_Data!$F:$F,D$22)</f>
        <v>0</v>
      </c>
      <c r="E52" s="16">
        <f>sumifs(Production_Data!$G:$G,Production_Data!$C:$C,$I52,Production_Data!$F:$F,E$22)</f>
        <v>0</v>
      </c>
      <c r="F52" s="16">
        <f>sumifs(Production_Data!$G:$G,Production_Data!$C:$C,$I52,Production_Data!$F:$F,F$22)</f>
        <v>0</v>
      </c>
      <c r="G52" s="17">
        <f t="shared" si="5"/>
        <v>104891</v>
      </c>
      <c r="H52" s="10"/>
      <c r="I52" s="15" t="s">
        <v>60</v>
      </c>
      <c r="J52" s="16">
        <f>sumifs(Production_Data!$G:$G,Production_Data!$C:$C,$I52,Production_Data!$F:$F,J$21,Production_Data!$D:$D,J$22)</f>
        <v>86958</v>
      </c>
      <c r="K52" s="16">
        <f>sumifs(Production_Data!$G:$G,Production_Data!$C:$C,$I52,Production_Data!$F:$F,K$21,Production_Data!$D:$D,K$22)</f>
        <v>17933</v>
      </c>
      <c r="L52" s="16">
        <f>sumifs(Production_Data!$G:$G,Production_Data!$C:$C,$I52,Production_Data!$F:$F,L$21,Production_Data!$D:$D,L$22)</f>
        <v>0</v>
      </c>
      <c r="M52" s="16">
        <f>sumifs(Production_Data!$G:$G,Production_Data!$C:$C,$I52,Production_Data!$F:$F,M$21,Production_Data!$D:$D,M$22)</f>
        <v>0</v>
      </c>
      <c r="N52" s="16">
        <f>sumifs(Production_Data!$G:$G,Production_Data!$C:$C,$I52,Production_Data!$F:$F,N$21,Production_Data!$D:$D,N$22)</f>
        <v>0</v>
      </c>
      <c r="O52" s="16">
        <f>sumifs(Production_Data!$G:$G,Production_Data!$C:$C,$I52,Production_Data!$F:$F,O$21,Production_Data!$D:$D,O$22)</f>
        <v>0</v>
      </c>
      <c r="P52" s="16">
        <f>sumifs(Production_Data!$G:$G,Production_Data!$C:$C,$I52,Production_Data!$F:$F,P$21,Production_Data!$D:$D,P$22)</f>
        <v>0</v>
      </c>
      <c r="Q52" s="16">
        <f>sumifs(Production_Data!$G:$G,Production_Data!$C:$C,$I52,Production_Data!$F:$F,Q$21,Production_Data!$D:$D,Q$22)</f>
        <v>0</v>
      </c>
      <c r="R52" s="17">
        <f t="shared" si="6"/>
        <v>104891</v>
      </c>
      <c r="S52" s="10"/>
      <c r="T52" s="10"/>
      <c r="U52" s="10"/>
      <c r="V52" s="10"/>
      <c r="W52" s="10"/>
      <c r="X52" s="10"/>
    </row>
    <row r="53">
      <c r="A53" s="14"/>
      <c r="B53" s="15" t="s">
        <v>61</v>
      </c>
      <c r="C53" s="16">
        <f>sumifs(Production_Data!$G:$G,Production_Data!$C:$C,$I53,Production_Data!$F:$F,C$22)</f>
        <v>85991</v>
      </c>
      <c r="D53" s="16">
        <f>sumifs(Production_Data!$G:$G,Production_Data!$C:$C,$I53,Production_Data!$F:$F,D$22)</f>
        <v>16681</v>
      </c>
      <c r="E53" s="16">
        <f>sumifs(Production_Data!$G:$G,Production_Data!$C:$C,$I53,Production_Data!$F:$F,E$22)</f>
        <v>0</v>
      </c>
      <c r="F53" s="16">
        <f>sumifs(Production_Data!$G:$G,Production_Data!$C:$C,$I53,Production_Data!$F:$F,F$22)</f>
        <v>0</v>
      </c>
      <c r="G53" s="17">
        <f t="shared" si="5"/>
        <v>102672</v>
      </c>
      <c r="H53" s="10"/>
      <c r="I53" s="15" t="s">
        <v>61</v>
      </c>
      <c r="J53" s="16">
        <f>sumifs(Production_Data!$G:$G,Production_Data!$C:$C,$I53,Production_Data!$F:$F,J$21,Production_Data!$D:$D,J$22)</f>
        <v>67851</v>
      </c>
      <c r="K53" s="16">
        <f>sumifs(Production_Data!$G:$G,Production_Data!$C:$C,$I53,Production_Data!$F:$F,K$21,Production_Data!$D:$D,K$22)</f>
        <v>15390</v>
      </c>
      <c r="L53" s="16">
        <f>sumifs(Production_Data!$G:$G,Production_Data!$C:$C,$I53,Production_Data!$F:$F,L$21,Production_Data!$D:$D,L$22)</f>
        <v>2750</v>
      </c>
      <c r="M53" s="16">
        <f>sumifs(Production_Data!$G:$G,Production_Data!$C:$C,$I53,Production_Data!$F:$F,M$21,Production_Data!$D:$D,M$22)</f>
        <v>16681</v>
      </c>
      <c r="N53" s="16">
        <f>sumifs(Production_Data!$G:$G,Production_Data!$C:$C,$I53,Production_Data!$F:$F,N$21,Production_Data!$D:$D,N$22)</f>
        <v>0</v>
      </c>
      <c r="O53" s="16">
        <f>sumifs(Production_Data!$G:$G,Production_Data!$C:$C,$I53,Production_Data!$F:$F,O$21,Production_Data!$D:$D,O$22)</f>
        <v>0</v>
      </c>
      <c r="P53" s="16">
        <f>sumifs(Production_Data!$G:$G,Production_Data!$C:$C,$I53,Production_Data!$F:$F,P$21,Production_Data!$D:$D,P$22)</f>
        <v>0</v>
      </c>
      <c r="Q53" s="16">
        <f>sumifs(Production_Data!$G:$G,Production_Data!$C:$C,$I53,Production_Data!$F:$F,Q$21,Production_Data!$D:$D,Q$22)</f>
        <v>0</v>
      </c>
      <c r="R53" s="17">
        <f t="shared" si="6"/>
        <v>102672</v>
      </c>
      <c r="S53" s="10"/>
      <c r="T53" s="10"/>
      <c r="U53" s="10"/>
      <c r="V53" s="10"/>
      <c r="W53" s="10"/>
      <c r="X53" s="10"/>
    </row>
    <row r="54">
      <c r="A54" s="14"/>
      <c r="B54" s="15" t="s">
        <v>62</v>
      </c>
      <c r="C54" s="16">
        <f>sumifs(Production_Data!$G:$G,Production_Data!$C:$C,$I54,Production_Data!$F:$F,C$22)</f>
        <v>49154</v>
      </c>
      <c r="D54" s="16">
        <f>sumifs(Production_Data!$G:$G,Production_Data!$C:$C,$I54,Production_Data!$F:$F,D$22)</f>
        <v>33118</v>
      </c>
      <c r="E54" s="16">
        <f>sumifs(Production_Data!$G:$G,Production_Data!$C:$C,$I54,Production_Data!$F:$F,E$22)</f>
        <v>0</v>
      </c>
      <c r="F54" s="16">
        <f>sumifs(Production_Data!$G:$G,Production_Data!$C:$C,$I54,Production_Data!$F:$F,F$22)</f>
        <v>0</v>
      </c>
      <c r="G54" s="17">
        <f t="shared" si="5"/>
        <v>82272</v>
      </c>
      <c r="H54" s="10"/>
      <c r="I54" s="15" t="s">
        <v>62</v>
      </c>
      <c r="J54" s="16">
        <f>sumifs(Production_Data!$G:$G,Production_Data!$C:$C,$I54,Production_Data!$F:$F,J$21,Production_Data!$D:$D,J$22)</f>
        <v>29551</v>
      </c>
      <c r="K54" s="16">
        <f>sumifs(Production_Data!$G:$G,Production_Data!$C:$C,$I54,Production_Data!$F:$F,K$21,Production_Data!$D:$D,K$22)</f>
        <v>6326</v>
      </c>
      <c r="L54" s="16">
        <f>sumifs(Production_Data!$G:$G,Production_Data!$C:$C,$I54,Production_Data!$F:$F,L$21,Production_Data!$D:$D,L$22)</f>
        <v>13277</v>
      </c>
      <c r="M54" s="16">
        <f>sumifs(Production_Data!$G:$G,Production_Data!$C:$C,$I54,Production_Data!$F:$F,M$21,Production_Data!$D:$D,M$22)</f>
        <v>33118</v>
      </c>
      <c r="N54" s="16">
        <f>sumifs(Production_Data!$G:$G,Production_Data!$C:$C,$I54,Production_Data!$F:$F,N$21,Production_Data!$D:$D,N$22)</f>
        <v>0</v>
      </c>
      <c r="O54" s="16">
        <f>sumifs(Production_Data!$G:$G,Production_Data!$C:$C,$I54,Production_Data!$F:$F,O$21,Production_Data!$D:$D,O$22)</f>
        <v>0</v>
      </c>
      <c r="P54" s="16">
        <f>sumifs(Production_Data!$G:$G,Production_Data!$C:$C,$I54,Production_Data!$F:$F,P$21,Production_Data!$D:$D,P$22)</f>
        <v>0</v>
      </c>
      <c r="Q54" s="16">
        <f>sumifs(Production_Data!$G:$G,Production_Data!$C:$C,$I54,Production_Data!$F:$F,Q$21,Production_Data!$D:$D,Q$22)</f>
        <v>0</v>
      </c>
      <c r="R54" s="17">
        <f t="shared" si="6"/>
        <v>82272</v>
      </c>
      <c r="S54" s="10"/>
      <c r="T54" s="10"/>
      <c r="U54" s="10"/>
      <c r="V54" s="10"/>
      <c r="W54" s="10"/>
      <c r="X54" s="10"/>
    </row>
    <row r="55">
      <c r="A55" s="14"/>
      <c r="B55" s="15" t="s">
        <v>63</v>
      </c>
      <c r="C55" s="16">
        <f>sumifs(Production_Data!$G:$G,Production_Data!$C:$C,$I55,Production_Data!$F:$F,C$22)</f>
        <v>107539</v>
      </c>
      <c r="D55" s="16">
        <f>sumifs(Production_Data!$G:$G,Production_Data!$C:$C,$I55,Production_Data!$F:$F,D$22)</f>
        <v>37497</v>
      </c>
      <c r="E55" s="16">
        <f>sumifs(Production_Data!$G:$G,Production_Data!$C:$C,$I55,Production_Data!$F:$F,E$22)</f>
        <v>0</v>
      </c>
      <c r="F55" s="16">
        <f>sumifs(Production_Data!$G:$G,Production_Data!$C:$C,$I55,Production_Data!$F:$F,F$22)</f>
        <v>0</v>
      </c>
      <c r="G55" s="17">
        <f t="shared" si="5"/>
        <v>145036</v>
      </c>
      <c r="H55" s="10"/>
      <c r="I55" s="15" t="s">
        <v>63</v>
      </c>
      <c r="J55" s="16">
        <f>sumifs(Production_Data!$G:$G,Production_Data!$C:$C,$I55,Production_Data!$F:$F,J$21,Production_Data!$D:$D,J$22)</f>
        <v>58229</v>
      </c>
      <c r="K55" s="16">
        <f>sumifs(Production_Data!$G:$G,Production_Data!$C:$C,$I55,Production_Data!$F:$F,K$21,Production_Data!$D:$D,K$22)</f>
        <v>16992</v>
      </c>
      <c r="L55" s="16">
        <f>sumifs(Production_Data!$G:$G,Production_Data!$C:$C,$I55,Production_Data!$F:$F,L$21,Production_Data!$D:$D,L$22)</f>
        <v>32318</v>
      </c>
      <c r="M55" s="16">
        <f>sumifs(Production_Data!$G:$G,Production_Data!$C:$C,$I55,Production_Data!$F:$F,M$21,Production_Data!$D:$D,M$22)</f>
        <v>37497</v>
      </c>
      <c r="N55" s="16">
        <f>sumifs(Production_Data!$G:$G,Production_Data!$C:$C,$I55,Production_Data!$F:$F,N$21,Production_Data!$D:$D,N$22)</f>
        <v>0</v>
      </c>
      <c r="O55" s="16">
        <f>sumifs(Production_Data!$G:$G,Production_Data!$C:$C,$I55,Production_Data!$F:$F,O$21,Production_Data!$D:$D,O$22)</f>
        <v>0</v>
      </c>
      <c r="P55" s="16">
        <f>sumifs(Production_Data!$G:$G,Production_Data!$C:$C,$I55,Production_Data!$F:$F,P$21,Production_Data!$D:$D,P$22)</f>
        <v>0</v>
      </c>
      <c r="Q55" s="16">
        <f>sumifs(Production_Data!$G:$G,Production_Data!$C:$C,$I55,Production_Data!$F:$F,Q$21,Production_Data!$D:$D,Q$22)</f>
        <v>0</v>
      </c>
      <c r="R55" s="17">
        <f t="shared" si="6"/>
        <v>145036</v>
      </c>
      <c r="S55" s="10"/>
      <c r="T55" s="10"/>
      <c r="U55" s="10"/>
      <c r="V55" s="10"/>
      <c r="W55" s="10"/>
      <c r="X55" s="10"/>
    </row>
    <row r="56">
      <c r="A56" s="14"/>
      <c r="B56" s="15" t="s">
        <v>64</v>
      </c>
      <c r="C56" s="16">
        <f>sumifs(Production_Data!$G:$G,Production_Data!$C:$C,$I56,Production_Data!$F:$F,C$22)</f>
        <v>112721</v>
      </c>
      <c r="D56" s="16">
        <f>sumifs(Production_Data!$G:$G,Production_Data!$C:$C,$I56,Production_Data!$F:$F,D$22)</f>
        <v>67036</v>
      </c>
      <c r="E56" s="16">
        <f>sumifs(Production_Data!$G:$G,Production_Data!$C:$C,$I56,Production_Data!$F:$F,E$22)</f>
        <v>0</v>
      </c>
      <c r="F56" s="16">
        <f>sumifs(Production_Data!$G:$G,Production_Data!$C:$C,$I56,Production_Data!$F:$F,F$22)</f>
        <v>0</v>
      </c>
      <c r="G56" s="17">
        <f t="shared" si="5"/>
        <v>179757</v>
      </c>
      <c r="H56" s="10"/>
      <c r="I56" s="15" t="s">
        <v>64</v>
      </c>
      <c r="J56" s="16">
        <f>sumifs(Production_Data!$G:$G,Production_Data!$C:$C,$I56,Production_Data!$F:$F,J$21,Production_Data!$D:$D,J$22)</f>
        <v>58073</v>
      </c>
      <c r="K56" s="16">
        <f>sumifs(Production_Data!$G:$G,Production_Data!$C:$C,$I56,Production_Data!$F:$F,K$21,Production_Data!$D:$D,K$22)</f>
        <v>16097</v>
      </c>
      <c r="L56" s="16">
        <f>sumifs(Production_Data!$G:$G,Production_Data!$C:$C,$I56,Production_Data!$F:$F,L$21,Production_Data!$D:$D,L$22)</f>
        <v>38551</v>
      </c>
      <c r="M56" s="16">
        <f>sumifs(Production_Data!$G:$G,Production_Data!$C:$C,$I56,Production_Data!$F:$F,M$21,Production_Data!$D:$D,M$22)</f>
        <v>67036</v>
      </c>
      <c r="N56" s="16">
        <f>sumifs(Production_Data!$G:$G,Production_Data!$C:$C,$I56,Production_Data!$F:$F,N$21,Production_Data!$D:$D,N$22)</f>
        <v>0</v>
      </c>
      <c r="O56" s="16">
        <f>sumifs(Production_Data!$G:$G,Production_Data!$C:$C,$I56,Production_Data!$F:$F,O$21,Production_Data!$D:$D,O$22)</f>
        <v>0</v>
      </c>
      <c r="P56" s="16">
        <f>sumifs(Production_Data!$G:$G,Production_Data!$C:$C,$I56,Production_Data!$F:$F,P$21,Production_Data!$D:$D,P$22)</f>
        <v>0</v>
      </c>
      <c r="Q56" s="16">
        <f>sumifs(Production_Data!$G:$G,Production_Data!$C:$C,$I56,Production_Data!$F:$F,Q$21,Production_Data!$D:$D,Q$22)</f>
        <v>0</v>
      </c>
      <c r="R56" s="17">
        <f t="shared" si="6"/>
        <v>179757</v>
      </c>
      <c r="S56" s="10"/>
      <c r="T56" s="10"/>
      <c r="U56" s="10"/>
      <c r="V56" s="10"/>
      <c r="W56" s="10"/>
      <c r="X56" s="10"/>
    </row>
    <row r="57">
      <c r="A57" s="14"/>
      <c r="B57" s="15" t="s">
        <v>65</v>
      </c>
      <c r="C57" s="16">
        <f>sumifs(Production_Data!$G:$G,Production_Data!$C:$C,$I57,Production_Data!$F:$F,C$22)</f>
        <v>101096</v>
      </c>
      <c r="D57" s="16">
        <f>sumifs(Production_Data!$G:$G,Production_Data!$C:$C,$I57,Production_Data!$F:$F,D$22)</f>
        <v>79242</v>
      </c>
      <c r="E57" s="16">
        <f>sumifs(Production_Data!$G:$G,Production_Data!$C:$C,$I57,Production_Data!$F:$F,E$22)</f>
        <v>0</v>
      </c>
      <c r="F57" s="16">
        <f>sumifs(Production_Data!$G:$G,Production_Data!$C:$C,$I57,Production_Data!$F:$F,F$22)</f>
        <v>0</v>
      </c>
      <c r="G57" s="17">
        <f t="shared" si="5"/>
        <v>180338</v>
      </c>
      <c r="H57" s="10"/>
      <c r="I57" s="15" t="s">
        <v>65</v>
      </c>
      <c r="J57" s="16">
        <f>sumifs(Production_Data!$G:$G,Production_Data!$C:$C,$I57,Production_Data!$F:$F,J$21,Production_Data!$D:$D,J$22)</f>
        <v>52046</v>
      </c>
      <c r="K57" s="16">
        <f>sumifs(Production_Data!$G:$G,Production_Data!$C:$C,$I57,Production_Data!$F:$F,K$21,Production_Data!$D:$D,K$22)</f>
        <v>0</v>
      </c>
      <c r="L57" s="16">
        <f>sumifs(Production_Data!$G:$G,Production_Data!$C:$C,$I57,Production_Data!$F:$F,L$21,Production_Data!$D:$D,L$22)</f>
        <v>49050</v>
      </c>
      <c r="M57" s="16">
        <f>sumifs(Production_Data!$G:$G,Production_Data!$C:$C,$I57,Production_Data!$F:$F,M$21,Production_Data!$D:$D,M$22)</f>
        <v>61408</v>
      </c>
      <c r="N57" s="16">
        <f>sumifs(Production_Data!$G:$G,Production_Data!$C:$C,$I57,Production_Data!$F:$F,N$21,Production_Data!$D:$D,N$22)</f>
        <v>17834</v>
      </c>
      <c r="O57" s="16">
        <f>sumifs(Production_Data!$G:$G,Production_Data!$C:$C,$I57,Production_Data!$F:$F,O$21,Production_Data!$D:$D,O$22)</f>
        <v>0</v>
      </c>
      <c r="P57" s="16">
        <f>sumifs(Production_Data!$G:$G,Production_Data!$C:$C,$I57,Production_Data!$F:$F,P$21,Production_Data!$D:$D,P$22)</f>
        <v>0</v>
      </c>
      <c r="Q57" s="16">
        <f>sumifs(Production_Data!$G:$G,Production_Data!$C:$C,$I57,Production_Data!$F:$F,Q$21,Production_Data!$D:$D,Q$22)</f>
        <v>0</v>
      </c>
      <c r="R57" s="17">
        <f t="shared" si="6"/>
        <v>180338</v>
      </c>
      <c r="S57" s="10"/>
      <c r="T57" s="10"/>
      <c r="U57" s="10"/>
      <c r="V57" s="10"/>
      <c r="W57" s="10"/>
      <c r="X57" s="10"/>
    </row>
    <row r="58">
      <c r="A58" s="14"/>
      <c r="B58" s="15" t="s">
        <v>66</v>
      </c>
      <c r="C58" s="16">
        <f>sumifs(Production_Data!$G:$G,Production_Data!$C:$C,$I58,Production_Data!$F:$F,C$22)</f>
        <v>108170</v>
      </c>
      <c r="D58" s="16">
        <f>sumifs(Production_Data!$G:$G,Production_Data!$C:$C,$I58,Production_Data!$F:$F,D$22)</f>
        <v>98251</v>
      </c>
      <c r="E58" s="16">
        <f>sumifs(Production_Data!$G:$G,Production_Data!$C:$C,$I58,Production_Data!$F:$F,E$22)</f>
        <v>0</v>
      </c>
      <c r="F58" s="16">
        <f>sumifs(Production_Data!$G:$G,Production_Data!$C:$C,$I58,Production_Data!$F:$F,F$22)</f>
        <v>0</v>
      </c>
      <c r="G58" s="17">
        <f t="shared" si="5"/>
        <v>206421</v>
      </c>
      <c r="H58" s="10"/>
      <c r="I58" s="15" t="s">
        <v>66</v>
      </c>
      <c r="J58" s="16">
        <f>sumifs(Production_Data!$G:$G,Production_Data!$C:$C,$I58,Production_Data!$F:$F,J$21,Production_Data!$D:$D,J$22)</f>
        <v>52506</v>
      </c>
      <c r="K58" s="16">
        <f>sumifs(Production_Data!$G:$G,Production_Data!$C:$C,$I58,Production_Data!$F:$F,K$21,Production_Data!$D:$D,K$22)</f>
        <v>2340</v>
      </c>
      <c r="L58" s="16">
        <f>sumifs(Production_Data!$G:$G,Production_Data!$C:$C,$I58,Production_Data!$F:$F,L$21,Production_Data!$D:$D,L$22)</f>
        <v>53324</v>
      </c>
      <c r="M58" s="16">
        <f>sumifs(Production_Data!$G:$G,Production_Data!$C:$C,$I58,Production_Data!$F:$F,M$21,Production_Data!$D:$D,M$22)</f>
        <v>65946</v>
      </c>
      <c r="N58" s="16">
        <f>sumifs(Production_Data!$G:$G,Production_Data!$C:$C,$I58,Production_Data!$F:$F,N$21,Production_Data!$D:$D,N$22)</f>
        <v>32305</v>
      </c>
      <c r="O58" s="16">
        <f>sumifs(Production_Data!$G:$G,Production_Data!$C:$C,$I58,Production_Data!$F:$F,O$21,Production_Data!$D:$D,O$22)</f>
        <v>0</v>
      </c>
      <c r="P58" s="16">
        <f>sumifs(Production_Data!$G:$G,Production_Data!$C:$C,$I58,Production_Data!$F:$F,P$21,Production_Data!$D:$D,P$22)</f>
        <v>0</v>
      </c>
      <c r="Q58" s="16">
        <f>sumifs(Production_Data!$G:$G,Production_Data!$C:$C,$I58,Production_Data!$F:$F,Q$21,Production_Data!$D:$D,Q$22)</f>
        <v>0</v>
      </c>
      <c r="R58" s="17">
        <f t="shared" si="6"/>
        <v>206421</v>
      </c>
      <c r="S58" s="10"/>
      <c r="T58" s="10"/>
      <c r="U58" s="10"/>
      <c r="V58" s="10"/>
      <c r="W58" s="10"/>
      <c r="X58" s="10"/>
    </row>
    <row r="59">
      <c r="A59" s="14"/>
      <c r="B59" s="15" t="s">
        <v>67</v>
      </c>
      <c r="C59" s="16">
        <f>sumifs(Production_Data!$G:$G,Production_Data!$C:$C,$I59,Production_Data!$F:$F,C$22)</f>
        <v>108759</v>
      </c>
      <c r="D59" s="16">
        <f>sumifs(Production_Data!$G:$G,Production_Data!$C:$C,$I59,Production_Data!$F:$F,D$22)</f>
        <v>129064</v>
      </c>
      <c r="E59" s="16">
        <f>sumifs(Production_Data!$G:$G,Production_Data!$C:$C,$I59,Production_Data!$F:$F,E$22)</f>
        <v>0</v>
      </c>
      <c r="F59" s="16">
        <f>sumifs(Production_Data!$G:$G,Production_Data!$C:$C,$I59,Production_Data!$F:$F,F$22)</f>
        <v>0</v>
      </c>
      <c r="G59" s="17">
        <f t="shared" si="5"/>
        <v>237823</v>
      </c>
      <c r="H59" s="10"/>
      <c r="I59" s="15" t="s">
        <v>67</v>
      </c>
      <c r="J59" s="16">
        <f>sumifs(Production_Data!$G:$G,Production_Data!$C:$C,$I59,Production_Data!$F:$F,J$21,Production_Data!$D:$D,J$22)</f>
        <v>54018</v>
      </c>
      <c r="K59" s="16">
        <f>sumifs(Production_Data!$G:$G,Production_Data!$C:$C,$I59,Production_Data!$F:$F,K$21,Production_Data!$D:$D,K$22)</f>
        <v>8941</v>
      </c>
      <c r="L59" s="16">
        <f>sumifs(Production_Data!$G:$G,Production_Data!$C:$C,$I59,Production_Data!$F:$F,L$21,Production_Data!$D:$D,L$22)</f>
        <v>45800</v>
      </c>
      <c r="M59" s="16">
        <f>sumifs(Production_Data!$G:$G,Production_Data!$C:$C,$I59,Production_Data!$F:$F,M$21,Production_Data!$D:$D,M$22)</f>
        <v>67590</v>
      </c>
      <c r="N59" s="16">
        <f>sumifs(Production_Data!$G:$G,Production_Data!$C:$C,$I59,Production_Data!$F:$F,N$21,Production_Data!$D:$D,N$22)</f>
        <v>61474</v>
      </c>
      <c r="O59" s="16">
        <f>sumifs(Production_Data!$G:$G,Production_Data!$C:$C,$I59,Production_Data!$F:$F,O$21,Production_Data!$D:$D,O$22)</f>
        <v>0</v>
      </c>
      <c r="P59" s="16">
        <f>sumifs(Production_Data!$G:$G,Production_Data!$C:$C,$I59,Production_Data!$F:$F,P$21,Production_Data!$D:$D,P$22)</f>
        <v>0</v>
      </c>
      <c r="Q59" s="16">
        <f>sumifs(Production_Data!$G:$G,Production_Data!$C:$C,$I59,Production_Data!$F:$F,Q$21,Production_Data!$D:$D,Q$22)</f>
        <v>0</v>
      </c>
      <c r="R59" s="17">
        <f t="shared" si="6"/>
        <v>237823</v>
      </c>
      <c r="S59" s="10"/>
      <c r="T59" s="10"/>
      <c r="U59" s="10"/>
      <c r="V59" s="10"/>
      <c r="W59" s="10"/>
      <c r="X59" s="10"/>
    </row>
    <row r="60">
      <c r="A60" s="14"/>
      <c r="B60" s="15" t="s">
        <v>68</v>
      </c>
      <c r="C60" s="16">
        <f>sumifs(Production_Data!$G:$G,Production_Data!$C:$C,$I60,Production_Data!$F:$F,C$22)</f>
        <v>126610</v>
      </c>
      <c r="D60" s="16">
        <f>sumifs(Production_Data!$G:$G,Production_Data!$C:$C,$I60,Production_Data!$F:$F,D$22)</f>
        <v>179230</v>
      </c>
      <c r="E60" s="16">
        <f>sumifs(Production_Data!$G:$G,Production_Data!$C:$C,$I60,Production_Data!$F:$F,E$22)</f>
        <v>0</v>
      </c>
      <c r="F60" s="16">
        <f>sumifs(Production_Data!$G:$G,Production_Data!$C:$C,$I60,Production_Data!$F:$F,F$22)</f>
        <v>0</v>
      </c>
      <c r="G60" s="17">
        <f t="shared" si="5"/>
        <v>305840</v>
      </c>
      <c r="H60" s="10"/>
      <c r="I60" s="15" t="s">
        <v>68</v>
      </c>
      <c r="J60" s="16">
        <f>sumifs(Production_Data!$G:$G,Production_Data!$C:$C,$I60,Production_Data!$F:$F,J$21,Production_Data!$D:$D,J$22)</f>
        <v>58101</v>
      </c>
      <c r="K60" s="16">
        <f>sumifs(Production_Data!$G:$G,Production_Data!$C:$C,$I60,Production_Data!$F:$F,K$21,Production_Data!$D:$D,K$22)</f>
        <v>13109</v>
      </c>
      <c r="L60" s="16">
        <f>sumifs(Production_Data!$G:$G,Production_Data!$C:$C,$I60,Production_Data!$F:$F,L$21,Production_Data!$D:$D,L$22)</f>
        <v>55400</v>
      </c>
      <c r="M60" s="16">
        <f>sumifs(Production_Data!$G:$G,Production_Data!$C:$C,$I60,Production_Data!$F:$F,M$21,Production_Data!$D:$D,M$22)</f>
        <v>84914</v>
      </c>
      <c r="N60" s="16">
        <f>sumifs(Production_Data!$G:$G,Production_Data!$C:$C,$I60,Production_Data!$F:$F,N$21,Production_Data!$D:$D,N$22)</f>
        <v>94316</v>
      </c>
      <c r="O60" s="16">
        <f>sumifs(Production_Data!$G:$G,Production_Data!$C:$C,$I60,Production_Data!$F:$F,O$21,Production_Data!$D:$D,O$22)</f>
        <v>0</v>
      </c>
      <c r="P60" s="16">
        <f>sumifs(Production_Data!$G:$G,Production_Data!$C:$C,$I60,Production_Data!$F:$F,P$21,Production_Data!$D:$D,P$22)</f>
        <v>0</v>
      </c>
      <c r="Q60" s="16">
        <f>sumifs(Production_Data!$G:$G,Production_Data!$C:$C,$I60,Production_Data!$F:$F,Q$21,Production_Data!$D:$D,Q$22)</f>
        <v>0</v>
      </c>
      <c r="R60" s="17">
        <f t="shared" si="6"/>
        <v>305840</v>
      </c>
      <c r="S60" s="10"/>
      <c r="T60" s="10"/>
      <c r="U60" s="10"/>
      <c r="V60" s="10"/>
      <c r="W60" s="10"/>
      <c r="X60" s="10"/>
    </row>
    <row r="61">
      <c r="A61" s="14"/>
      <c r="B61" s="15" t="s">
        <v>69</v>
      </c>
      <c r="C61" s="16">
        <f>sumifs(Production_Data!$G:$G,Production_Data!$C:$C,$I61,Production_Data!$F:$F,C$22)</f>
        <v>125296</v>
      </c>
      <c r="D61" s="16">
        <f>sumifs(Production_Data!$G:$G,Production_Data!$C:$C,$I61,Production_Data!$F:$F,D$22)</f>
        <v>178887</v>
      </c>
      <c r="E61" s="16">
        <f>sumifs(Production_Data!$G:$G,Production_Data!$C:$C,$I61,Production_Data!$F:$F,E$22)</f>
        <v>999</v>
      </c>
      <c r="F61" s="16">
        <f>sumifs(Production_Data!$G:$G,Production_Data!$C:$C,$I61,Production_Data!$F:$F,F$22)</f>
        <v>225</v>
      </c>
      <c r="G61" s="17">
        <f t="shared" si="5"/>
        <v>305407</v>
      </c>
      <c r="H61" s="10"/>
      <c r="I61" s="15" t="s">
        <v>69</v>
      </c>
      <c r="J61" s="16">
        <f>sumifs(Production_Data!$G:$G,Production_Data!$C:$C,$I61,Production_Data!$F:$F,J$21,Production_Data!$D:$D,J$22)</f>
        <v>55678</v>
      </c>
      <c r="K61" s="16">
        <f>sumifs(Production_Data!$G:$G,Production_Data!$C:$C,$I61,Production_Data!$F:$F,K$21,Production_Data!$D:$D,K$22)</f>
        <v>14218</v>
      </c>
      <c r="L61" s="16">
        <f>sumifs(Production_Data!$G:$G,Production_Data!$C:$C,$I61,Production_Data!$F:$F,L$21,Production_Data!$D:$D,L$22)</f>
        <v>55400</v>
      </c>
      <c r="M61" s="16">
        <f>sumifs(Production_Data!$G:$G,Production_Data!$C:$C,$I61,Production_Data!$F:$F,M$21,Production_Data!$D:$D,M$22)</f>
        <v>75456</v>
      </c>
      <c r="N61" s="16">
        <f>sumifs(Production_Data!$G:$G,Production_Data!$C:$C,$I61,Production_Data!$F:$F,N$21,Production_Data!$D:$D,N$22)</f>
        <v>103431</v>
      </c>
      <c r="O61" s="16">
        <f>sumifs(Production_Data!$G:$G,Production_Data!$C:$C,$I61,Production_Data!$F:$F,O$21,Production_Data!$D:$D,O$22)</f>
        <v>999</v>
      </c>
      <c r="P61" s="16">
        <f>sumifs(Production_Data!$G:$G,Production_Data!$C:$C,$I61,Production_Data!$F:$F,P$21,Production_Data!$D:$D,P$22)</f>
        <v>225</v>
      </c>
      <c r="Q61" s="16">
        <f>sumifs(Production_Data!$G:$G,Production_Data!$C:$C,$I61,Production_Data!$F:$F,Q$21,Production_Data!$D:$D,Q$22)</f>
        <v>0</v>
      </c>
      <c r="R61" s="17">
        <f t="shared" si="6"/>
        <v>305407</v>
      </c>
      <c r="S61" s="10"/>
      <c r="T61" s="10"/>
      <c r="U61" s="10"/>
      <c r="V61" s="10"/>
      <c r="W61" s="10"/>
      <c r="X61" s="10"/>
    </row>
    <row r="62">
      <c r="A62" s="14"/>
      <c r="B62" s="20" t="s">
        <v>70</v>
      </c>
      <c r="C62" s="16">
        <f>sumifs(Production_Data!$G:$G,Production_Data!$C:$C,$I62,Production_Data!$F:$F,C$22)</f>
        <v>133111</v>
      </c>
      <c r="D62" s="16">
        <f>sumifs(Production_Data!$G:$G,Production_Data!$C:$C,$I62,Production_Data!$F:$F,D$22)</f>
        <v>115229</v>
      </c>
      <c r="E62" s="16">
        <f>sumifs(Production_Data!$G:$G,Production_Data!$C:$C,$I62,Production_Data!$F:$F,E$22)</f>
        <v>7787</v>
      </c>
      <c r="F62" s="16">
        <f>sumifs(Production_Data!$G:$G,Production_Data!$C:$C,$I62,Production_Data!$F:$F,F$22)</f>
        <v>2453</v>
      </c>
      <c r="G62" s="17">
        <f t="shared" si="5"/>
        <v>258580</v>
      </c>
      <c r="H62" s="10"/>
      <c r="I62" s="20" t="s">
        <v>70</v>
      </c>
      <c r="J62" s="16">
        <f>sumifs(Production_Data!$G:$G,Production_Data!$C:$C,$I62,Production_Data!$F:$F,J$21,Production_Data!$D:$D,J$22)</f>
        <v>56800</v>
      </c>
      <c r="K62" s="16">
        <f>sumifs(Production_Data!$G:$G,Production_Data!$C:$C,$I62,Production_Data!$F:$F,K$21,Production_Data!$D:$D,K$22)</f>
        <v>16411</v>
      </c>
      <c r="L62" s="16">
        <f>sumifs(Production_Data!$G:$G,Production_Data!$C:$C,$I62,Production_Data!$F:$F,L$21,Production_Data!$D:$D,L$22)</f>
        <v>59900</v>
      </c>
      <c r="M62" s="16">
        <f>sumifs(Production_Data!$G:$G,Production_Data!$C:$C,$I62,Production_Data!$F:$F,M$21,Production_Data!$D:$D,M$22)</f>
        <v>39504</v>
      </c>
      <c r="N62" s="16">
        <f>sumifs(Production_Data!$G:$G,Production_Data!$C:$C,$I62,Production_Data!$F:$F,N$21,Production_Data!$D:$D,N$22)</f>
        <v>75725</v>
      </c>
      <c r="O62" s="16">
        <f>sumifs(Production_Data!$G:$G,Production_Data!$C:$C,$I62,Production_Data!$F:$F,O$21,Production_Data!$D:$D,O$22)</f>
        <v>7787</v>
      </c>
      <c r="P62" s="16">
        <f>sumifs(Production_Data!$G:$G,Production_Data!$C:$C,$I62,Production_Data!$F:$F,P$21,Production_Data!$D:$D,P$22)</f>
        <v>2453</v>
      </c>
      <c r="Q62" s="16">
        <f>sumifs(Production_Data!$G:$G,Production_Data!$C:$C,$I62,Production_Data!$F:$F,Q$21,Production_Data!$D:$D,Q$22)</f>
        <v>0</v>
      </c>
      <c r="R62" s="17">
        <f t="shared" si="6"/>
        <v>258580</v>
      </c>
      <c r="S62" s="10"/>
      <c r="T62" s="10"/>
      <c r="U62" s="10"/>
      <c r="V62" s="10"/>
      <c r="W62" s="10"/>
      <c r="X62" s="10"/>
    </row>
    <row r="63">
      <c r="A63" s="14"/>
      <c r="B63" s="20" t="s">
        <v>71</v>
      </c>
      <c r="C63" s="16">
        <f>sumifs(Production_Data!$G:$G,Production_Data!$C:$C,$I63,Production_Data!$F:$F,C$22)</f>
        <v>143290</v>
      </c>
      <c r="D63" s="16">
        <f>sumifs(Production_Data!$G:$G,Production_Data!$C:$C,$I63,Production_Data!$F:$F,D$22)</f>
        <v>197412</v>
      </c>
      <c r="E63" s="16">
        <f>sumifs(Production_Data!$G:$G,Production_Data!$C:$C,$I63,Production_Data!$F:$F,E$22)</f>
        <v>16671</v>
      </c>
      <c r="F63" s="16">
        <f>sumifs(Production_Data!$G:$G,Production_Data!$C:$C,$I63,Production_Data!$F:$F,F$22)</f>
        <v>8550</v>
      </c>
      <c r="G63" s="17">
        <f t="shared" si="5"/>
        <v>365923</v>
      </c>
      <c r="H63" s="10"/>
      <c r="I63" s="20" t="s">
        <v>71</v>
      </c>
      <c r="J63" s="16">
        <f>sumifs(Production_Data!$G:$G,Production_Data!$C:$C,$I63,Production_Data!$F:$F,J$21,Production_Data!$D:$D,J$22)</f>
        <v>65155</v>
      </c>
      <c r="K63" s="16">
        <f>sumifs(Production_Data!$G:$G,Production_Data!$C:$C,$I63,Production_Data!$F:$F,K$21,Production_Data!$D:$D,K$22)</f>
        <v>19935</v>
      </c>
      <c r="L63" s="16">
        <f>sumifs(Production_Data!$G:$G,Production_Data!$C:$C,$I63,Production_Data!$F:$F,L$21,Production_Data!$D:$D,L$22)</f>
        <v>58200</v>
      </c>
      <c r="M63" s="16">
        <f>sumifs(Production_Data!$G:$G,Production_Data!$C:$C,$I63,Production_Data!$F:$F,M$21,Production_Data!$D:$D,M$22)</f>
        <v>61402</v>
      </c>
      <c r="N63" s="16">
        <f>sumifs(Production_Data!$G:$G,Production_Data!$C:$C,$I63,Production_Data!$F:$F,N$21,Production_Data!$D:$D,N$22)</f>
        <v>136010</v>
      </c>
      <c r="O63" s="16">
        <f>sumifs(Production_Data!$G:$G,Production_Data!$C:$C,$I63,Production_Data!$F:$F,O$21,Production_Data!$D:$D,O$22)</f>
        <v>16671</v>
      </c>
      <c r="P63" s="16">
        <f>sumifs(Production_Data!$G:$G,Production_Data!$C:$C,$I63,Production_Data!$F:$F,P$21,Production_Data!$D:$D,P$22)</f>
        <v>8550</v>
      </c>
      <c r="Q63" s="16">
        <f>sumifs(Production_Data!$G:$G,Production_Data!$C:$C,$I63,Production_Data!$F:$F,Q$21,Production_Data!$D:$D,Q$22)</f>
        <v>0</v>
      </c>
      <c r="R63" s="17">
        <f t="shared" si="6"/>
        <v>365923</v>
      </c>
      <c r="S63" s="10"/>
      <c r="T63" s="10"/>
      <c r="U63" s="10"/>
      <c r="V63" s="10"/>
      <c r="W63" s="10"/>
      <c r="X63" s="10"/>
    </row>
    <row r="64">
      <c r="A64" s="14"/>
      <c r="B64" s="20" t="s">
        <v>72</v>
      </c>
      <c r="C64" s="16">
        <f>sumifs(Production_Data!$G:$G,Production_Data!$C:$C,$I64,Production_Data!$F:$F,C$22)</f>
        <v>153413</v>
      </c>
      <c r="D64" s="16">
        <f>sumifs(Production_Data!$G:$G,Production_Data!$C:$C,$I64,Production_Data!$F:$F,D$22)</f>
        <v>235141</v>
      </c>
      <c r="E64" s="16">
        <f>sumifs(Production_Data!$G:$G,Production_Data!$C:$C,$I64,Production_Data!$F:$F,E$22)</f>
        <v>23247</v>
      </c>
      <c r="F64" s="16">
        <f>sumifs(Production_Data!$G:$G,Production_Data!$C:$C,$I64,Production_Data!$F:$F,F$22)</f>
        <v>27900</v>
      </c>
      <c r="G64" s="17">
        <f t="shared" si="5"/>
        <v>439701</v>
      </c>
      <c r="H64" s="10"/>
      <c r="I64" s="20" t="s">
        <v>72</v>
      </c>
      <c r="J64" s="16">
        <f>sumifs(Production_Data!$G:$G,Production_Data!$C:$C,$I64,Production_Data!$F:$F,J$21,Production_Data!$D:$D,J$22)</f>
        <v>65000</v>
      </c>
      <c r="K64" s="16">
        <f>sumifs(Production_Data!$G:$G,Production_Data!$C:$C,$I64,Production_Data!$F:$F,K$21,Production_Data!$D:$D,K$22)</f>
        <v>20613</v>
      </c>
      <c r="L64" s="16">
        <f>sumifs(Production_Data!$G:$G,Production_Data!$C:$C,$I64,Production_Data!$F:$F,L$21,Production_Data!$D:$D,L$22)</f>
        <v>67800</v>
      </c>
      <c r="M64" s="16">
        <f>sumifs(Production_Data!$G:$G,Production_Data!$C:$C,$I64,Production_Data!$F:$F,M$21,Production_Data!$D:$D,M$22)</f>
        <v>86291</v>
      </c>
      <c r="N64" s="16">
        <f>sumifs(Production_Data!$G:$G,Production_Data!$C:$C,$I64,Production_Data!$F:$F,N$21,Production_Data!$D:$D,N$22)</f>
        <v>148850</v>
      </c>
      <c r="O64" s="16">
        <f>sumifs(Production_Data!$G:$G,Production_Data!$C:$C,$I64,Production_Data!$F:$F,O$21,Production_Data!$D:$D,O$22)</f>
        <v>23247</v>
      </c>
      <c r="P64" s="16">
        <f>sumifs(Production_Data!$G:$G,Production_Data!$C:$C,$I64,Production_Data!$F:$F,P$21,Production_Data!$D:$D,P$22)</f>
        <v>27900</v>
      </c>
      <c r="Q64" s="16">
        <f>sumifs(Production_Data!$G:$G,Production_Data!$C:$C,$I64,Production_Data!$F:$F,Q$21,Production_Data!$D:$D,Q$22)</f>
        <v>0</v>
      </c>
      <c r="R64" s="17">
        <f t="shared" si="6"/>
        <v>439701</v>
      </c>
      <c r="S64" s="10"/>
      <c r="T64" s="10"/>
      <c r="U64" s="10"/>
      <c r="V64" s="48"/>
      <c r="W64" s="48"/>
      <c r="X64" s="10"/>
    </row>
    <row r="65">
      <c r="A65" s="14"/>
      <c r="B65" s="20" t="s">
        <v>73</v>
      </c>
      <c r="C65" s="16">
        <f>sumifs(Production_Data!$G:$G,Production_Data!$C:$C,$I65,Production_Data!$F:$F,C$22)</f>
        <v>142835</v>
      </c>
      <c r="D65" s="16">
        <f>sumifs(Production_Data!$G:$G,Production_Data!$C:$C,$I65,Production_Data!$F:$F,D$22)</f>
        <v>218539</v>
      </c>
      <c r="E65" s="16">
        <f>sumifs(Production_Data!$G:$G,Production_Data!$C:$C,$I65,Production_Data!$F:$F,E$22)</f>
        <v>38514</v>
      </c>
      <c r="F65" s="16">
        <f>sumifs(Production_Data!$G:$G,Production_Data!$C:$C,$I65,Production_Data!$F:$F,F$22)</f>
        <v>40920</v>
      </c>
      <c r="G65" s="17">
        <f t="shared" si="5"/>
        <v>440808</v>
      </c>
      <c r="H65" s="10"/>
      <c r="I65" s="20" t="s">
        <v>73</v>
      </c>
      <c r="J65" s="16">
        <f>sumifs(Production_Data!$G:$G,Production_Data!$C:$C,$I65,Production_Data!$F:$F,J$21,Production_Data!$D:$D,J$22)</f>
        <v>64342</v>
      </c>
      <c r="K65" s="16">
        <f>sumifs(Production_Data!$G:$G,Production_Data!$C:$C,$I65,Production_Data!$F:$F,K$21,Production_Data!$D:$D,K$22)</f>
        <v>19437</v>
      </c>
      <c r="L65" s="16">
        <f>sumifs(Production_Data!$G:$G,Production_Data!$C:$C,$I65,Production_Data!$F:$F,L$21,Production_Data!$D:$D,L$22)</f>
        <v>59056</v>
      </c>
      <c r="M65" s="16">
        <f>sumifs(Production_Data!$G:$G,Production_Data!$C:$C,$I65,Production_Data!$F:$F,M$21,Production_Data!$D:$D,M$22)</f>
        <v>69648</v>
      </c>
      <c r="N65" s="16">
        <f>sumifs(Production_Data!$G:$G,Production_Data!$C:$C,$I65,Production_Data!$F:$F,N$21,Production_Data!$D:$D,N$22)</f>
        <v>148891</v>
      </c>
      <c r="O65" s="16">
        <f>sumifs(Production_Data!$G:$G,Production_Data!$C:$C,$I65,Production_Data!$F:$F,O$21,Production_Data!$D:$D,O$22)</f>
        <v>38514</v>
      </c>
      <c r="P65" s="16">
        <f>sumifs(Production_Data!$G:$G,Production_Data!$C:$C,$I65,Production_Data!$F:$F,P$21,Production_Data!$D:$D,P$22)</f>
        <v>40920</v>
      </c>
      <c r="Q65" s="16">
        <f>sumifs(Production_Data!$G:$G,Production_Data!$C:$C,$I65,Production_Data!$F:$F,Q$21,Production_Data!$D:$D,Q$22)</f>
        <v>0</v>
      </c>
      <c r="R65" s="17">
        <f t="shared" si="6"/>
        <v>440808</v>
      </c>
      <c r="S65" s="10"/>
      <c r="T65" s="10"/>
      <c r="U65" s="10"/>
      <c r="V65" s="48"/>
      <c r="W65" s="48"/>
      <c r="X65" s="10"/>
    </row>
    <row r="66">
      <c r="A66" s="14"/>
      <c r="B66" s="20" t="s">
        <v>74</v>
      </c>
      <c r="C66" s="16">
        <f>sumifs(Production_Data!$G:$G,Production_Data!$C:$C,$I66,Production_Data!$F:$F,C$22)</f>
        <v>147702</v>
      </c>
      <c r="D66" s="16">
        <f>sumifs(Production_Data!$G:$G,Production_Data!$C:$C,$I66,Production_Data!$F:$F,D$22)</f>
        <v>243768</v>
      </c>
      <c r="E66" s="16">
        <f>sumifs(Production_Data!$G:$G,Production_Data!$C:$C,$I66,Production_Data!$F:$F,E$22)</f>
        <v>46101</v>
      </c>
      <c r="F66" s="16">
        <f>sumifs(Production_Data!$G:$G,Production_Data!$C:$C,$I66,Production_Data!$F:$F,F$22)</f>
        <v>42129</v>
      </c>
      <c r="G66" s="17">
        <f t="shared" si="5"/>
        <v>479700</v>
      </c>
      <c r="H66" s="10"/>
      <c r="I66" s="20" t="s">
        <v>74</v>
      </c>
      <c r="J66" s="16">
        <f>sumifs(Production_Data!$G:$G,Production_Data!$C:$C,$I66,Production_Data!$F:$F,J$21,Production_Data!$D:$D,J$22)</f>
        <v>64469</v>
      </c>
      <c r="K66" s="16">
        <f>sumifs(Production_Data!$G:$G,Production_Data!$C:$C,$I66,Production_Data!$F:$F,K$21,Production_Data!$D:$D,K$22)</f>
        <v>19489</v>
      </c>
      <c r="L66" s="16">
        <f>sumifs(Production_Data!$G:$G,Production_Data!$C:$C,$I66,Production_Data!$F:$F,L$21,Production_Data!$D:$D,L$22)</f>
        <v>63744</v>
      </c>
      <c r="M66" s="16">
        <f>sumifs(Production_Data!$G:$G,Production_Data!$C:$C,$I66,Production_Data!$F:$F,M$21,Production_Data!$D:$D,M$22)</f>
        <v>84222</v>
      </c>
      <c r="N66" s="16">
        <f>sumifs(Production_Data!$G:$G,Production_Data!$C:$C,$I66,Production_Data!$F:$F,N$21,Production_Data!$D:$D,N$22)</f>
        <v>159546</v>
      </c>
      <c r="O66" s="16">
        <f>sumifs(Production_Data!$G:$G,Production_Data!$C:$C,$I66,Production_Data!$F:$F,O$21,Production_Data!$D:$D,O$22)</f>
        <v>46101</v>
      </c>
      <c r="P66" s="16">
        <f>sumifs(Production_Data!$G:$G,Production_Data!$C:$C,$I66,Production_Data!$F:$F,P$21,Production_Data!$D:$D,P$22)</f>
        <v>42129</v>
      </c>
      <c r="Q66" s="16">
        <f>sumifs(Production_Data!$G:$G,Production_Data!$C:$C,$I66,Production_Data!$F:$F,Q$21,Production_Data!$D:$D,Q$22)</f>
        <v>0</v>
      </c>
      <c r="R66" s="17">
        <f t="shared" si="6"/>
        <v>479700</v>
      </c>
      <c r="S66" s="10"/>
      <c r="T66" s="10"/>
      <c r="U66" s="36"/>
      <c r="V66" s="48"/>
      <c r="W66" s="48"/>
      <c r="X66" s="10"/>
    </row>
    <row r="67">
      <c r="A67" s="14"/>
      <c r="B67" s="20" t="s">
        <v>75</v>
      </c>
      <c r="C67" s="16">
        <f>sumifs(Production_Data!$G:$G,Production_Data!$C:$C,$I67,Production_Data!$F:$F,C$22)</f>
        <v>132359</v>
      </c>
      <c r="D67" s="16">
        <f>sumifs(Production_Data!$G:$G,Production_Data!$C:$C,$I67,Production_Data!$F:$F,D$22)</f>
        <v>227270</v>
      </c>
      <c r="E67" s="16">
        <f>sumifs(Production_Data!$G:$G,Production_Data!$C:$C,$I67,Production_Data!$F:$F,E$22)</f>
        <v>51608</v>
      </c>
      <c r="F67" s="16">
        <f>sumifs(Production_Data!$G:$G,Production_Data!$C:$C,$I67,Production_Data!$F:$F,F$22)</f>
        <v>19251</v>
      </c>
      <c r="G67" s="17">
        <f t="shared" si="5"/>
        <v>430488</v>
      </c>
      <c r="H67" s="10"/>
      <c r="I67" s="20" t="s">
        <v>75</v>
      </c>
      <c r="J67" s="16">
        <f>sumifs(Production_Data!$G:$G,Production_Data!$C:$C,$I67,Production_Data!$F:$F,J$21,Production_Data!$D:$D,J$22)</f>
        <v>50796</v>
      </c>
      <c r="K67" s="16">
        <f>sumifs(Production_Data!$G:$G,Production_Data!$C:$C,$I67,Production_Data!$F:$F,K$21,Production_Data!$D:$D,K$22)</f>
        <v>13688</v>
      </c>
      <c r="L67" s="16">
        <f>sumifs(Production_Data!$G:$G,Production_Data!$C:$C,$I67,Production_Data!$F:$F,L$21,Production_Data!$D:$D,L$22)</f>
        <v>67875</v>
      </c>
      <c r="M67" s="16">
        <f>sumifs(Production_Data!$G:$G,Production_Data!$C:$C,$I67,Production_Data!$F:$F,M$21,Production_Data!$D:$D,M$22)</f>
        <v>62175</v>
      </c>
      <c r="N67" s="16">
        <f>sumifs(Production_Data!$G:$G,Production_Data!$C:$C,$I67,Production_Data!$F:$F,N$21,Production_Data!$D:$D,N$22)</f>
        <v>165095</v>
      </c>
      <c r="O67" s="16">
        <f>sumifs(Production_Data!$G:$G,Production_Data!$C:$C,$I67,Production_Data!$F:$F,O$21,Production_Data!$D:$D,O$22)</f>
        <v>51608</v>
      </c>
      <c r="P67" s="16">
        <f>sumifs(Production_Data!$G:$G,Production_Data!$C:$C,$I67,Production_Data!$F:$F,P$21,Production_Data!$D:$D,P$22)</f>
        <v>19251</v>
      </c>
      <c r="Q67" s="16">
        <f>sumifs(Production_Data!$G:$G,Production_Data!$C:$C,$I67,Production_Data!$F:$F,Q$21,Production_Data!$D:$D,Q$22)</f>
        <v>0</v>
      </c>
      <c r="R67" s="17">
        <f t="shared" si="6"/>
        <v>430488</v>
      </c>
      <c r="S67" s="10"/>
      <c r="T67" s="10"/>
      <c r="U67" s="10"/>
      <c r="V67" s="21"/>
      <c r="W67" s="10"/>
      <c r="X67" s="10"/>
    </row>
    <row r="68">
      <c r="A68" s="14"/>
      <c r="B68" s="20" t="s">
        <v>76</v>
      </c>
      <c r="C68" s="16">
        <f>sumifs(Production_Data!$G:$G,Production_Data!$C:$C,$I68,Production_Data!$F:$F,C$22)</f>
        <v>134370</v>
      </c>
      <c r="D68" s="16">
        <f>sumifs(Production_Data!$G:$G,Production_Data!$C:$C,$I68,Production_Data!$F:$F,D$22)</f>
        <v>260159</v>
      </c>
      <c r="E68" s="16">
        <f>sumifs(Production_Data!$G:$G,Production_Data!$C:$C,$I68,Production_Data!$F:$F,E$22)</f>
        <v>60906</v>
      </c>
      <c r="F68" s="16">
        <f>sumifs(Production_Data!$G:$G,Production_Data!$C:$C,$I68,Production_Data!$F:$F,F$22)</f>
        <v>39554</v>
      </c>
      <c r="G68" s="17">
        <f t="shared" si="5"/>
        <v>494989</v>
      </c>
      <c r="H68" s="10"/>
      <c r="I68" s="20" t="s">
        <v>76</v>
      </c>
      <c r="J68" s="16">
        <f>sumifs(Production_Data!$G:$G,Production_Data!$C:$C,$I68,Production_Data!$F:$F,J$21,Production_Data!$D:$D,J$22)</f>
        <v>48306</v>
      </c>
      <c r="K68" s="16">
        <f>sumifs(Production_Data!$G:$G,Production_Data!$C:$C,$I68,Production_Data!$F:$F,K$21,Production_Data!$D:$D,K$22)</f>
        <v>17997</v>
      </c>
      <c r="L68" s="16">
        <f>sumifs(Production_Data!$G:$G,Production_Data!$C:$C,$I68,Production_Data!$F:$F,L$21,Production_Data!$D:$D,L$22)</f>
        <v>68067</v>
      </c>
      <c r="M68" s="16">
        <f>sumifs(Production_Data!$G:$G,Production_Data!$C:$C,$I68,Production_Data!$F:$F,M$21,Production_Data!$D:$D,M$22)</f>
        <v>89364</v>
      </c>
      <c r="N68" s="16">
        <f>sumifs(Production_Data!$G:$G,Production_Data!$C:$C,$I68,Production_Data!$F:$F,N$21,Production_Data!$D:$D,N$22)</f>
        <v>170795</v>
      </c>
      <c r="O68" s="16">
        <f>sumifs(Production_Data!$G:$G,Production_Data!$C:$C,$I68,Production_Data!$F:$F,O$21,Production_Data!$D:$D,O$22)</f>
        <v>60906</v>
      </c>
      <c r="P68" s="16">
        <f>sumifs(Production_Data!$G:$G,Production_Data!$C:$C,$I68,Production_Data!$F:$F,P$21,Production_Data!$D:$D,P$22)</f>
        <v>39339</v>
      </c>
      <c r="Q68" s="16">
        <f>sumifs(Production_Data!$G:$G,Production_Data!$C:$C,$I68,Production_Data!$F:$F,Q$21,Production_Data!$D:$D,Q$22)</f>
        <v>215</v>
      </c>
      <c r="R68" s="17">
        <f t="shared" si="6"/>
        <v>494989</v>
      </c>
      <c r="S68" s="10"/>
      <c r="T68" s="10"/>
      <c r="U68" s="10"/>
      <c r="V68" s="10"/>
      <c r="W68" s="10"/>
      <c r="X68" s="10"/>
    </row>
    <row r="69">
      <c r="A69" s="14"/>
      <c r="B69" s="20" t="s">
        <v>77</v>
      </c>
      <c r="C69" s="16">
        <f>sumifs(Production_Data!$G:$G,Production_Data!$C:$C,$I69,Production_Data!$F:$F,C$22)</f>
        <v>98595</v>
      </c>
      <c r="D69" s="16">
        <f>sumifs(Production_Data!$G:$G,Production_Data!$C:$C,$I69,Production_Data!$F:$F,D$22)</f>
        <v>223648</v>
      </c>
      <c r="E69" s="16">
        <f>sumifs(Production_Data!$G:$G,Production_Data!$C:$C,$I69,Production_Data!$F:$F,E$22)</f>
        <v>53237</v>
      </c>
      <c r="F69" s="16">
        <f>sumifs(Production_Data!$G:$G,Production_Data!$C:$C,$I69,Production_Data!$F:$F,F$22)</f>
        <v>57891</v>
      </c>
      <c r="G69" s="17">
        <f t="shared" si="5"/>
        <v>433371</v>
      </c>
      <c r="H69" s="10"/>
      <c r="I69" s="20" t="s">
        <v>77</v>
      </c>
      <c r="J69" s="16">
        <f>sumifs(Production_Data!$G:$G,Production_Data!$C:$C,$I69,Production_Data!$F:$F,J$21,Production_Data!$D:$D,J$22)</f>
        <v>17756</v>
      </c>
      <c r="K69" s="16">
        <f>sumifs(Production_Data!$G:$G,Production_Data!$C:$C,$I69,Production_Data!$F:$F,K$21,Production_Data!$D:$D,K$22)</f>
        <v>17824</v>
      </c>
      <c r="L69" s="16">
        <f>sumifs(Production_Data!$G:$G,Production_Data!$C:$C,$I69,Production_Data!$F:$F,L$21,Production_Data!$D:$D,L$22)</f>
        <v>63015</v>
      </c>
      <c r="M69" s="16">
        <f>sumifs(Production_Data!$G:$G,Production_Data!$C:$C,$I69,Production_Data!$F:$F,M$21,Production_Data!$D:$D,M$22)</f>
        <v>82907</v>
      </c>
      <c r="N69" s="16">
        <f>sumifs(Production_Data!$G:$G,Production_Data!$C:$C,$I69,Production_Data!$F:$F,N$21,Production_Data!$D:$D,N$22)</f>
        <v>140741</v>
      </c>
      <c r="O69" s="16">
        <f>sumifs(Production_Data!$G:$G,Production_Data!$C:$C,$I69,Production_Data!$F:$F,O$21,Production_Data!$D:$D,O$22)</f>
        <v>53237</v>
      </c>
      <c r="P69" s="16">
        <f>sumifs(Production_Data!$G:$G,Production_Data!$C:$C,$I69,Production_Data!$F:$F,P$21,Production_Data!$D:$D,P$22)</f>
        <v>54720</v>
      </c>
      <c r="Q69" s="16">
        <f>sumifs(Production_Data!$G:$G,Production_Data!$C:$C,$I69,Production_Data!$F:$F,Q$21,Production_Data!$D:$D,Q$22)</f>
        <v>3171</v>
      </c>
      <c r="R69" s="17">
        <f t="shared" si="6"/>
        <v>433371</v>
      </c>
      <c r="S69" s="10"/>
      <c r="T69" s="10"/>
      <c r="U69" s="10"/>
      <c r="V69" s="10"/>
      <c r="W69" s="10"/>
      <c r="X69" s="10"/>
    </row>
    <row r="70">
      <c r="A70" s="14"/>
      <c r="B70" s="20" t="s">
        <v>78</v>
      </c>
      <c r="C70" s="16">
        <f>sumifs(Production_Data!$G:$G,Production_Data!$C:$C,$I70,Production_Data!$F:$F,C$22)</f>
        <v>129119</v>
      </c>
      <c r="D70" s="16">
        <f>sumifs(Production_Data!$G:$G,Production_Data!$C:$C,$I70,Production_Data!$F:$F,D$22)</f>
        <v>191299</v>
      </c>
      <c r="E70" s="16">
        <f>sumifs(Production_Data!$G:$G,Production_Data!$C:$C,$I70,Production_Data!$F:$F,E$22)</f>
        <v>47076</v>
      </c>
      <c r="F70" s="16">
        <f>sumifs(Production_Data!$G:$G,Production_Data!$C:$C,$I70,Production_Data!$F:$F,F$22)</f>
        <v>43337</v>
      </c>
      <c r="G70" s="17">
        <f t="shared" si="5"/>
        <v>410831</v>
      </c>
      <c r="H70" s="10"/>
      <c r="I70" s="20" t="s">
        <v>78</v>
      </c>
      <c r="J70" s="16">
        <f>sumifs(Production_Data!$G:$G,Production_Data!$C:$C,$I70,Production_Data!$F:$F,J$21,Production_Data!$D:$D,J$22)</f>
        <v>53075</v>
      </c>
      <c r="K70" s="16">
        <f>sumifs(Production_Data!$G:$G,Production_Data!$C:$C,$I70,Production_Data!$F:$F,K$21,Production_Data!$D:$D,K$22)</f>
        <v>12933</v>
      </c>
      <c r="L70" s="16">
        <f>sumifs(Production_Data!$G:$G,Production_Data!$C:$C,$I70,Production_Data!$F:$F,L$21,Production_Data!$D:$D,L$22)</f>
        <v>63111</v>
      </c>
      <c r="M70" s="16">
        <f>sumifs(Production_Data!$G:$G,Production_Data!$C:$C,$I70,Production_Data!$F:$F,M$21,Production_Data!$D:$D,M$22)</f>
        <v>79853</v>
      </c>
      <c r="N70" s="16">
        <f>sumifs(Production_Data!$G:$G,Production_Data!$C:$C,$I70,Production_Data!$F:$F,N$21,Production_Data!$D:$D,N$22)</f>
        <v>111446</v>
      </c>
      <c r="O70" s="16">
        <f>sumifs(Production_Data!$G:$G,Production_Data!$C:$C,$I70,Production_Data!$F:$F,O$21,Production_Data!$D:$D,O$22)</f>
        <v>47076</v>
      </c>
      <c r="P70" s="16">
        <f>sumifs(Production_Data!$G:$G,Production_Data!$C:$C,$I70,Production_Data!$F:$F,P$21,Production_Data!$D:$D,P$22)</f>
        <v>32015</v>
      </c>
      <c r="Q70" s="16">
        <f>sumifs(Production_Data!$G:$G,Production_Data!$C:$C,$I70,Production_Data!$F:$F,Q$21,Production_Data!$D:$D,Q$22)</f>
        <v>11322</v>
      </c>
      <c r="R70" s="17">
        <f t="shared" si="6"/>
        <v>410831</v>
      </c>
      <c r="S70" s="10"/>
      <c r="T70" s="10"/>
      <c r="U70" s="10"/>
      <c r="V70" s="21"/>
      <c r="W70" s="10"/>
      <c r="X70" s="10"/>
    </row>
    <row r="71">
      <c r="A71" s="14"/>
      <c r="B71" s="20" t="s">
        <v>79</v>
      </c>
      <c r="C71" s="16">
        <f>sumifs(Production_Data!$G:$G,Production_Data!$C:$C,$I71,Production_Data!$F:$F,C$22)</f>
        <v>125172</v>
      </c>
      <c r="D71" s="16">
        <f>sumifs(Production_Data!$G:$G,Production_Data!$C:$C,$I71,Production_Data!$F:$F,D$22)</f>
        <v>251003</v>
      </c>
      <c r="E71" s="16">
        <f>sumifs(Production_Data!$G:$G,Production_Data!$C:$C,$I71,Production_Data!$F:$F,E$22)</f>
        <v>52220</v>
      </c>
      <c r="F71" s="16">
        <f>sumifs(Production_Data!$G:$G,Production_Data!$C:$C,$I71,Production_Data!$F:$F,F$22)</f>
        <v>41401</v>
      </c>
      <c r="G71" s="17">
        <f t="shared" si="5"/>
        <v>469796</v>
      </c>
      <c r="H71" s="10"/>
      <c r="I71" s="20" t="s">
        <v>79</v>
      </c>
      <c r="J71" s="16">
        <f>sumifs(Production_Data!$G:$G,Production_Data!$C:$C,$I71,Production_Data!$F:$F,J$21,Production_Data!$D:$D,J$22)</f>
        <v>53365</v>
      </c>
      <c r="K71" s="16">
        <f>sumifs(Production_Data!$G:$G,Production_Data!$C:$C,$I71,Production_Data!$F:$F,K$21,Production_Data!$D:$D,K$22)</f>
        <v>11012</v>
      </c>
      <c r="L71" s="16">
        <f>sumifs(Production_Data!$G:$G,Production_Data!$C:$C,$I71,Production_Data!$F:$F,L$21,Production_Data!$D:$D,L$22)</f>
        <v>60795</v>
      </c>
      <c r="M71" s="16">
        <f>sumifs(Production_Data!$G:$G,Production_Data!$C:$C,$I71,Production_Data!$F:$F,M$21,Production_Data!$D:$D,M$22)</f>
        <v>97388</v>
      </c>
      <c r="N71" s="16">
        <f>sumifs(Production_Data!$G:$G,Production_Data!$C:$C,$I71,Production_Data!$F:$F,N$21,Production_Data!$D:$D,N$22)</f>
        <v>153615</v>
      </c>
      <c r="O71" s="16">
        <f>sumifs(Production_Data!$G:$G,Production_Data!$C:$C,$I71,Production_Data!$F:$F,O$21,Production_Data!$D:$D,O$22)</f>
        <v>52220</v>
      </c>
      <c r="P71" s="16">
        <f>sumifs(Production_Data!$G:$G,Production_Data!$C:$C,$I71,Production_Data!$F:$F,P$21,Production_Data!$D:$D,P$22)</f>
        <v>26285</v>
      </c>
      <c r="Q71" s="16">
        <f>sumifs(Production_Data!$G:$G,Production_Data!$C:$C,$I71,Production_Data!$F:$F,Q$21,Production_Data!$D:$D,Q$22)</f>
        <v>15116</v>
      </c>
      <c r="R71" s="17">
        <f t="shared" si="6"/>
        <v>469796</v>
      </c>
      <c r="S71" s="10"/>
      <c r="T71" s="10"/>
      <c r="U71" s="49"/>
      <c r="V71" s="36"/>
      <c r="W71" s="10"/>
      <c r="X71" s="10"/>
    </row>
    <row r="72">
      <c r="A72" s="14"/>
      <c r="B72" s="20" t="s">
        <v>80</v>
      </c>
      <c r="C72" s="16">
        <f>sumifs(Production_Data!$G:$G,Production_Data!$C:$C,$I72,Production_Data!$F:$F,C$22)</f>
        <v>123641</v>
      </c>
      <c r="D72" s="16">
        <f>sumifs(Production_Data!$G:$G,Production_Data!$C:$C,$I72,Production_Data!$F:$F,D$22)</f>
        <v>246576</v>
      </c>
      <c r="E72" s="16">
        <f>sumifs(Production_Data!$G:$G,Production_Data!$C:$C,$I72,Production_Data!$F:$F,E$22)</f>
        <v>55969</v>
      </c>
      <c r="F72" s="16">
        <f>sumifs(Production_Data!$G:$G,Production_Data!$C:$C,$I72,Production_Data!$F:$F,F$22)</f>
        <v>33259</v>
      </c>
      <c r="G72" s="17">
        <f t="shared" si="5"/>
        <v>459445</v>
      </c>
      <c r="H72" s="10"/>
      <c r="I72" s="20" t="s">
        <v>80</v>
      </c>
      <c r="J72" s="16">
        <f>sumifs(Production_Data!$G:$G,Production_Data!$C:$C,$I72,Production_Data!$F:$F,J$21,Production_Data!$D:$D,J$22)</f>
        <v>51338</v>
      </c>
      <c r="K72" s="16">
        <f>sumifs(Production_Data!$G:$G,Production_Data!$C:$C,$I72,Production_Data!$F:$F,K$21,Production_Data!$D:$D,K$22)</f>
        <v>11508</v>
      </c>
      <c r="L72" s="16">
        <f>sumifs(Production_Data!$G:$G,Production_Data!$C:$C,$I72,Production_Data!$F:$F,L$21,Production_Data!$D:$D,L$22)</f>
        <v>60795</v>
      </c>
      <c r="M72" s="16">
        <f>sumifs(Production_Data!$G:$G,Production_Data!$C:$C,$I72,Production_Data!$F:$F,M$21,Production_Data!$D:$D,M$22)</f>
        <v>96375</v>
      </c>
      <c r="N72" s="16">
        <f>sumifs(Production_Data!$G:$G,Production_Data!$C:$C,$I72,Production_Data!$F:$F,N$21,Production_Data!$D:$D,N$22)</f>
        <v>150201</v>
      </c>
      <c r="O72" s="16">
        <f>sumifs(Production_Data!$G:$G,Production_Data!$C:$C,$I72,Production_Data!$F:$F,O$21,Production_Data!$D:$D,O$22)</f>
        <v>55969</v>
      </c>
      <c r="P72" s="16">
        <f>sumifs(Production_Data!$G:$G,Production_Data!$C:$C,$I72,Production_Data!$F:$F,P$21,Production_Data!$D:$D,P$22)</f>
        <v>22040</v>
      </c>
      <c r="Q72" s="16">
        <f>sumifs(Production_Data!$G:$G,Production_Data!$C:$C,$I72,Production_Data!$F:$F,Q$21,Production_Data!$D:$D,Q$22)</f>
        <v>11219</v>
      </c>
      <c r="R72" s="17">
        <f t="shared" si="6"/>
        <v>459445</v>
      </c>
      <c r="S72" s="10"/>
      <c r="T72" s="10"/>
      <c r="U72" s="48"/>
      <c r="V72" s="48"/>
      <c r="W72" s="10"/>
      <c r="X72" s="10"/>
    </row>
    <row r="73">
      <c r="A73" s="14"/>
      <c r="B73" s="20" t="s">
        <v>81</v>
      </c>
      <c r="C73" s="16">
        <f>sumifs(Production_Data!$G:$G,Production_Data!$C:$C,$I73,Production_Data!$F:$F,C$22)</f>
        <v>117449</v>
      </c>
      <c r="D73" s="16">
        <f>sumifs(Production_Data!$G:$G,Production_Data!$C:$C,$I73,Production_Data!$F:$F,D$22)</f>
        <v>173697</v>
      </c>
      <c r="E73" s="16">
        <f>sumifs(Production_Data!$G:$G,Production_Data!$C:$C,$I73,Production_Data!$F:$F,E$22)</f>
        <v>41176</v>
      </c>
      <c r="F73" s="16">
        <f>sumifs(Production_Data!$G:$G,Production_Data!$C:$C,$I73,Production_Data!$F:$F,F$22)</f>
        <v>30293</v>
      </c>
      <c r="G73" s="17">
        <f t="shared" si="5"/>
        <v>362615</v>
      </c>
      <c r="H73" s="10"/>
      <c r="I73" s="20" t="s">
        <v>81</v>
      </c>
      <c r="J73" s="16">
        <f>sumifs(Production_Data!$G:$G,Production_Data!$C:$C,$I73,Production_Data!$F:$F,J$21,Production_Data!$D:$D,J$22)</f>
        <v>59004</v>
      </c>
      <c r="K73" s="16">
        <f>sumifs(Production_Data!$G:$G,Production_Data!$C:$C,$I73,Production_Data!$F:$F,K$21,Production_Data!$D:$D,K$22)</f>
        <v>9341</v>
      </c>
      <c r="L73" s="16">
        <f>sumifs(Production_Data!$G:$G,Production_Data!$C:$C,$I73,Production_Data!$F:$F,L$21,Production_Data!$D:$D,L$22)</f>
        <v>49104</v>
      </c>
      <c r="M73" s="16">
        <f>sumifs(Production_Data!$G:$G,Production_Data!$C:$C,$I73,Production_Data!$F:$F,M$21,Production_Data!$D:$D,M$22)</f>
        <v>82486</v>
      </c>
      <c r="N73" s="16">
        <f>sumifs(Production_Data!$G:$G,Production_Data!$C:$C,$I73,Production_Data!$F:$F,N$21,Production_Data!$D:$D,N$22)</f>
        <v>91211</v>
      </c>
      <c r="O73" s="16">
        <f>sumifs(Production_Data!$G:$G,Production_Data!$C:$C,$I73,Production_Data!$F:$F,O$21,Production_Data!$D:$D,O$22)</f>
        <v>41176</v>
      </c>
      <c r="P73" s="16">
        <f>sumifs(Production_Data!$G:$G,Production_Data!$C:$C,$I73,Production_Data!$F:$F,P$21,Production_Data!$D:$D,P$22)</f>
        <v>22473</v>
      </c>
      <c r="Q73" s="16">
        <f>sumifs(Production_Data!$G:$G,Production_Data!$C:$C,$I73,Production_Data!$F:$F,Q$21,Production_Data!$D:$D,Q$22)</f>
        <v>7820</v>
      </c>
      <c r="R73" s="17">
        <f t="shared" si="6"/>
        <v>362615</v>
      </c>
      <c r="S73" s="10"/>
      <c r="T73" s="10"/>
      <c r="U73" s="48"/>
      <c r="V73" s="48"/>
      <c r="W73" s="10"/>
      <c r="X73" s="10"/>
    </row>
    <row r="74">
      <c r="A74" s="14"/>
      <c r="B74" s="20" t="s">
        <v>82</v>
      </c>
      <c r="C74" s="16">
        <f>sumifs(Production_Data!$G:$G,Production_Data!$C:$C,$I74,Production_Data!$F:$F,C$22)</f>
        <v>107939</v>
      </c>
      <c r="D74" s="16">
        <f>sumifs(Production_Data!$G:$G,Production_Data!$C:$C,$I74,Production_Data!$F:$F,D$22)</f>
        <v>195868</v>
      </c>
      <c r="E74" s="16">
        <f>sumifs(Production_Data!$G:$G,Production_Data!$C:$C,$I74,Production_Data!$F:$F,E$22)</f>
        <v>56427</v>
      </c>
      <c r="F74" s="16">
        <f>sumifs(Production_Data!$G:$G,Production_Data!$C:$C,$I74,Production_Data!$F:$F,F$22)</f>
        <v>50010</v>
      </c>
      <c r="G74" s="17">
        <f t="shared" si="5"/>
        <v>410244</v>
      </c>
      <c r="H74" s="10"/>
      <c r="I74" s="20" t="s">
        <v>82</v>
      </c>
      <c r="J74" s="16">
        <f>sumifs(Production_Data!$G:$G,Production_Data!$C:$C,$I74,Production_Data!$F:$F,J$21,Production_Data!$D:$D,J$22)</f>
        <v>51282</v>
      </c>
      <c r="K74" s="16">
        <f>sumifs(Production_Data!$G:$G,Production_Data!$C:$C,$I74,Production_Data!$F:$F,K$21,Production_Data!$D:$D,K$22)</f>
        <v>6266</v>
      </c>
      <c r="L74" s="16">
        <f>sumifs(Production_Data!$G:$G,Production_Data!$C:$C,$I74,Production_Data!$F:$F,L$21,Production_Data!$D:$D,L$22)</f>
        <v>50391</v>
      </c>
      <c r="M74" s="16">
        <f>sumifs(Production_Data!$G:$G,Production_Data!$C:$C,$I74,Production_Data!$F:$F,M$21,Production_Data!$D:$D,M$22)</f>
        <v>69851</v>
      </c>
      <c r="N74" s="16">
        <f>sumifs(Production_Data!$G:$G,Production_Data!$C:$C,$I74,Production_Data!$F:$F,N$21,Production_Data!$D:$D,N$22)</f>
        <v>126017</v>
      </c>
      <c r="O74" s="16">
        <f>sumifs(Production_Data!$G:$G,Production_Data!$C:$C,$I74,Production_Data!$F:$F,O$21,Production_Data!$D:$D,O$22)</f>
        <v>56427</v>
      </c>
      <c r="P74" s="16">
        <f>sumifs(Production_Data!$G:$G,Production_Data!$C:$C,$I74,Production_Data!$F:$F,P$21,Production_Data!$D:$D,P$22)</f>
        <v>42867</v>
      </c>
      <c r="Q74" s="16">
        <f>sumifs(Production_Data!$G:$G,Production_Data!$C:$C,$I74,Production_Data!$F:$F,Q$21,Production_Data!$D:$D,Q$22)</f>
        <v>7143</v>
      </c>
      <c r="R74" s="17">
        <f t="shared" si="6"/>
        <v>410244</v>
      </c>
      <c r="S74" s="10"/>
      <c r="T74" s="10"/>
      <c r="U74" s="46"/>
      <c r="V74" s="46"/>
      <c r="W74" s="46"/>
      <c r="X74" s="10"/>
    </row>
    <row r="75">
      <c r="A75" s="14"/>
      <c r="B75" s="20" t="s">
        <v>83</v>
      </c>
      <c r="C75" s="16">
        <f>sumifs(Production_Data!$G:$G,Production_Data!$C:$C,$I75,Production_Data!$F:$F,C$22)</f>
        <v>106778</v>
      </c>
      <c r="D75" s="16">
        <f>sumifs(Production_Data!$G:$G,Production_Data!$C:$C,$I75,Production_Data!$F:$F,D$22)</f>
        <v>233136</v>
      </c>
      <c r="E75" s="16">
        <f>sumifs(Production_Data!$G:$G,Production_Data!$C:$C,$I75,Production_Data!$F:$F,E$22)</f>
        <v>48354</v>
      </c>
      <c r="F75" s="16">
        <f>sumifs(Production_Data!$G:$G,Production_Data!$C:$C,$I75,Production_Data!$F:$F,F$22)</f>
        <v>59182</v>
      </c>
      <c r="G75" s="17">
        <f t="shared" si="5"/>
        <v>447450</v>
      </c>
      <c r="H75" s="10"/>
      <c r="I75" s="20" t="s">
        <v>83</v>
      </c>
      <c r="J75" s="16">
        <f>sumifs(Production_Data!$G:$G,Production_Data!$C:$C,$I75,Production_Data!$F:$F,J$21,Production_Data!$D:$D,J$22)</f>
        <v>36000</v>
      </c>
      <c r="K75" s="16">
        <f>sumifs(Production_Data!$G:$G,Production_Data!$C:$C,$I75,Production_Data!$F:$F,K$21,Production_Data!$D:$D,K$22)</f>
        <v>8278</v>
      </c>
      <c r="L75" s="16">
        <f>sumifs(Production_Data!$G:$G,Production_Data!$C:$C,$I75,Production_Data!$F:$F,L$21,Production_Data!$D:$D,L$22)</f>
        <v>62500</v>
      </c>
      <c r="M75" s="16">
        <f>sumifs(Production_Data!$G:$G,Production_Data!$C:$C,$I75,Production_Data!$F:$F,M$21,Production_Data!$D:$D,M$22)</f>
        <v>72899</v>
      </c>
      <c r="N75" s="16">
        <f>sumifs(Production_Data!$G:$G,Production_Data!$C:$C,$I75,Production_Data!$F:$F,N$21,Production_Data!$D:$D,N$22)</f>
        <v>160237</v>
      </c>
      <c r="O75" s="16">
        <f>sumifs(Production_Data!$G:$G,Production_Data!$C:$C,$I75,Production_Data!$F:$F,O$21,Production_Data!$D:$D,O$22)</f>
        <v>48354</v>
      </c>
      <c r="P75" s="16">
        <f>sumifs(Production_Data!$G:$G,Production_Data!$C:$C,$I75,Production_Data!$F:$F,P$21,Production_Data!$D:$D,P$22)</f>
        <v>55836</v>
      </c>
      <c r="Q75" s="16">
        <f>sumifs(Production_Data!$G:$G,Production_Data!$C:$C,$I75,Production_Data!$F:$F,Q$21,Production_Data!$D:$D,Q$22)</f>
        <v>3346</v>
      </c>
      <c r="R75" s="17">
        <f t="shared" si="6"/>
        <v>447450</v>
      </c>
      <c r="S75" s="10"/>
      <c r="T75" s="10"/>
      <c r="U75" s="50"/>
      <c r="V75" s="51"/>
      <c r="W75" s="46"/>
      <c r="X75" s="10"/>
    </row>
    <row r="76">
      <c r="A76" s="14"/>
      <c r="B76" s="20" t="s">
        <v>84</v>
      </c>
      <c r="C76" s="16">
        <f>sumifs(Production_Data!$G:$G,Production_Data!$C:$C,$I76,Production_Data!$F:$F,C$22)</f>
        <v>88506</v>
      </c>
      <c r="D76" s="16">
        <f>sumifs(Production_Data!$G:$G,Production_Data!$C:$C,$I76,Production_Data!$F:$F,D$22)</f>
        <v>247726</v>
      </c>
      <c r="E76" s="16">
        <f>sumifs(Production_Data!$G:$G,Production_Data!$C:$C,$I76,Production_Data!$F:$F,E$22)</f>
        <v>52555</v>
      </c>
      <c r="F76" s="16">
        <f>sumifs(Production_Data!$G:$G,Production_Data!$C:$C,$I76,Production_Data!$F:$F,F$22)</f>
        <v>45571</v>
      </c>
      <c r="G76" s="17">
        <f t="shared" si="5"/>
        <v>434358</v>
      </c>
      <c r="H76" s="10"/>
      <c r="I76" s="20" t="s">
        <v>84</v>
      </c>
      <c r="J76" s="16">
        <f>sumifs(Production_Data!$G:$G,Production_Data!$C:$C,$I76,Production_Data!$F:$F,J$21,Production_Data!$D:$D,J$22)</f>
        <v>31400</v>
      </c>
      <c r="K76" s="16">
        <f>sumifs(Production_Data!$G:$G,Production_Data!$C:$C,$I76,Production_Data!$F:$F,K$21,Production_Data!$D:$D,K$22)</f>
        <v>8606</v>
      </c>
      <c r="L76" s="16">
        <f>sumifs(Production_Data!$G:$G,Production_Data!$C:$C,$I76,Production_Data!$F:$F,L$21,Production_Data!$D:$D,L$22)</f>
        <v>48500</v>
      </c>
      <c r="M76" s="16">
        <f>sumifs(Production_Data!$G:$G,Production_Data!$C:$C,$I76,Production_Data!$F:$F,M$21,Production_Data!$D:$D,M$22)</f>
        <v>85337</v>
      </c>
      <c r="N76" s="16">
        <f>sumifs(Production_Data!$G:$G,Production_Data!$C:$C,$I76,Production_Data!$F:$F,N$21,Production_Data!$D:$D,N$22)</f>
        <v>162389</v>
      </c>
      <c r="O76" s="16">
        <f>sumifs(Production_Data!$G:$G,Production_Data!$C:$C,$I76,Production_Data!$F:$F,O$21,Production_Data!$D:$D,O$22)</f>
        <v>52555</v>
      </c>
      <c r="P76" s="16">
        <f>sumifs(Production_Data!$G:$G,Production_Data!$C:$C,$I76,Production_Data!$F:$F,P$21,Production_Data!$D:$D,P$22)</f>
        <v>42471</v>
      </c>
      <c r="Q76" s="16">
        <f>sumifs(Production_Data!$G:$G,Production_Data!$C:$C,$I76,Production_Data!$F:$F,Q$21,Production_Data!$D:$D,Q$22)</f>
        <v>3100</v>
      </c>
      <c r="R76" s="17">
        <f t="shared" si="6"/>
        <v>434358</v>
      </c>
      <c r="S76" s="10"/>
      <c r="T76" s="10"/>
      <c r="U76" s="50"/>
      <c r="V76" s="51"/>
      <c r="W76" s="46"/>
      <c r="X76" s="10"/>
    </row>
    <row r="77">
      <c r="A77" s="14"/>
      <c r="B77" s="23" t="s">
        <v>1</v>
      </c>
      <c r="C77" s="17">
        <f t="shared" ref="C77:G77" si="7">sum(C23:C76)</f>
        <v>3726838</v>
      </c>
      <c r="D77" s="17">
        <f t="shared" si="7"/>
        <v>4079477</v>
      </c>
      <c r="E77" s="17">
        <f t="shared" si="7"/>
        <v>652847</v>
      </c>
      <c r="F77" s="17">
        <f t="shared" si="7"/>
        <v>541926</v>
      </c>
      <c r="G77" s="17">
        <f t="shared" si="7"/>
        <v>9001088</v>
      </c>
      <c r="H77" s="10"/>
      <c r="I77" s="23" t="s">
        <v>1</v>
      </c>
      <c r="J77" s="17">
        <f t="shared" ref="J77:R77" si="8">sum(J23:J76)</f>
        <v>1712104</v>
      </c>
      <c r="K77" s="17">
        <f t="shared" si="8"/>
        <v>766011</v>
      </c>
      <c r="L77" s="17">
        <f t="shared" si="8"/>
        <v>1248723</v>
      </c>
      <c r="M77" s="17">
        <f t="shared" si="8"/>
        <v>1669348</v>
      </c>
      <c r="N77" s="17">
        <f t="shared" si="8"/>
        <v>2410129</v>
      </c>
      <c r="O77" s="17">
        <f t="shared" si="8"/>
        <v>652847</v>
      </c>
      <c r="P77" s="17">
        <f t="shared" si="8"/>
        <v>479474</v>
      </c>
      <c r="Q77" s="17">
        <f t="shared" si="8"/>
        <v>62452</v>
      </c>
      <c r="R77" s="17">
        <f t="shared" si="8"/>
        <v>9001088</v>
      </c>
      <c r="S77" s="10"/>
      <c r="T77" s="10"/>
      <c r="U77" s="50"/>
      <c r="V77" s="51"/>
      <c r="W77" s="46"/>
      <c r="X77" s="10"/>
    </row>
    <row r="78">
      <c r="A78" s="14"/>
      <c r="B78" s="10"/>
      <c r="C78" s="10"/>
      <c r="D78" s="10"/>
      <c r="E78" s="10"/>
      <c r="F78" s="10"/>
      <c r="G78" s="10"/>
      <c r="H78" s="10"/>
      <c r="I78" s="14"/>
      <c r="J78" s="10"/>
      <c r="K78" s="10"/>
      <c r="L78" s="10"/>
      <c r="M78" s="10"/>
      <c r="N78" s="10"/>
      <c r="O78" s="10"/>
      <c r="P78" s="46"/>
      <c r="Q78" s="46"/>
      <c r="R78" s="10"/>
      <c r="S78" s="10"/>
      <c r="T78" s="10"/>
      <c r="U78" s="46"/>
      <c r="V78" s="46"/>
      <c r="W78" s="46"/>
      <c r="X78" s="10"/>
    </row>
    <row r="79">
      <c r="A79" s="14"/>
      <c r="B79" s="10"/>
      <c r="C79" s="10"/>
      <c r="D79" s="10"/>
      <c r="E79" s="10"/>
      <c r="F79" s="10"/>
      <c r="G79" s="10"/>
      <c r="H79" s="10"/>
      <c r="I79" s="14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>
      <c r="A80" s="14"/>
      <c r="B80" s="20" t="s">
        <v>85</v>
      </c>
      <c r="C80" s="16">
        <f t="shared" ref="C80:F80" si="9">MAX(C24:C76)</f>
        <v>153413</v>
      </c>
      <c r="D80" s="16">
        <f t="shared" si="9"/>
        <v>260159</v>
      </c>
      <c r="E80" s="16">
        <f t="shared" si="9"/>
        <v>60906</v>
      </c>
      <c r="F80" s="16">
        <f t="shared" si="9"/>
        <v>59182</v>
      </c>
      <c r="G80" s="17">
        <f t="shared" ref="G80:G81" si="12">SUM(C80:F80)</f>
        <v>533660</v>
      </c>
      <c r="H80" s="10"/>
      <c r="I80" s="20" t="s">
        <v>85</v>
      </c>
      <c r="J80" s="16">
        <f>MAX(J23:J49,J54:J76)</f>
        <v>65155</v>
      </c>
      <c r="K80" s="16">
        <f t="shared" ref="K80:Q80" si="10">MAX(K24:K76)</f>
        <v>26903</v>
      </c>
      <c r="L80" s="16">
        <f t="shared" si="10"/>
        <v>68067</v>
      </c>
      <c r="M80" s="16">
        <f t="shared" si="10"/>
        <v>97388</v>
      </c>
      <c r="N80" s="16">
        <f t="shared" si="10"/>
        <v>170795</v>
      </c>
      <c r="O80" s="16">
        <f t="shared" si="10"/>
        <v>60906</v>
      </c>
      <c r="P80" s="16">
        <f t="shared" si="10"/>
        <v>55836</v>
      </c>
      <c r="Q80" s="16">
        <f t="shared" si="10"/>
        <v>15116</v>
      </c>
      <c r="R80" s="17">
        <f t="shared" ref="R80:R81" si="14">SUM(J80:Q80)</f>
        <v>560166</v>
      </c>
      <c r="S80" s="10"/>
      <c r="T80" s="10"/>
      <c r="U80" s="36"/>
      <c r="V80" s="48"/>
      <c r="W80" s="48"/>
      <c r="X80" s="10"/>
    </row>
    <row r="81">
      <c r="A81" s="14"/>
      <c r="B81" s="20" t="s">
        <v>86</v>
      </c>
      <c r="C81" s="16">
        <f t="shared" ref="C81:F81" si="11">C80*4</f>
        <v>613652</v>
      </c>
      <c r="D81" s="16">
        <f t="shared" si="11"/>
        <v>1040636</v>
      </c>
      <c r="E81" s="16">
        <f t="shared" si="11"/>
        <v>243624</v>
      </c>
      <c r="F81" s="16">
        <f t="shared" si="11"/>
        <v>236728</v>
      </c>
      <c r="G81" s="17">
        <f t="shared" si="12"/>
        <v>2134640</v>
      </c>
      <c r="H81" s="10"/>
      <c r="I81" s="20" t="s">
        <v>86</v>
      </c>
      <c r="J81" s="16">
        <f t="shared" ref="J81:Q81" si="13">J80*4</f>
        <v>260620</v>
      </c>
      <c r="K81" s="16">
        <f t="shared" si="13"/>
        <v>107612</v>
      </c>
      <c r="L81" s="16">
        <f t="shared" si="13"/>
        <v>272268</v>
      </c>
      <c r="M81" s="16">
        <f t="shared" si="13"/>
        <v>389552</v>
      </c>
      <c r="N81" s="16">
        <f t="shared" si="13"/>
        <v>683180</v>
      </c>
      <c r="O81" s="16">
        <f t="shared" si="13"/>
        <v>243624</v>
      </c>
      <c r="P81" s="16">
        <f t="shared" si="13"/>
        <v>223344</v>
      </c>
      <c r="Q81" s="16">
        <f t="shared" si="13"/>
        <v>60464</v>
      </c>
      <c r="R81" s="17">
        <f t="shared" si="14"/>
        <v>2240664</v>
      </c>
      <c r="S81" s="10"/>
      <c r="T81" s="10"/>
      <c r="U81" s="10"/>
      <c r="V81" s="21"/>
      <c r="W81" s="10"/>
      <c r="X81" s="10"/>
    </row>
    <row r="82">
      <c r="A82" s="14"/>
      <c r="B82" s="10"/>
      <c r="C82" s="10"/>
      <c r="D82" s="10"/>
      <c r="E82" s="10"/>
      <c r="F82" s="10"/>
      <c r="G82" s="10"/>
      <c r="H82" s="10"/>
      <c r="I82" s="14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>
      <c r="A83" s="14"/>
      <c r="B83" s="10"/>
      <c r="C83" s="10"/>
      <c r="D83" s="10"/>
      <c r="E83" s="10"/>
      <c r="F83" s="10"/>
      <c r="G83" s="10"/>
      <c r="H83" s="10"/>
      <c r="I83" s="14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48"/>
      <c r="W83" s="48"/>
      <c r="X83" s="10"/>
    </row>
    <row r="84">
      <c r="A84" s="14"/>
      <c r="B84" s="10"/>
      <c r="C84" s="10"/>
      <c r="D84" s="10"/>
      <c r="E84" s="10"/>
      <c r="F84" s="10"/>
      <c r="G84" s="10"/>
      <c r="H84" s="10"/>
      <c r="I84" s="14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48"/>
      <c r="W84" s="48"/>
      <c r="X84" s="10"/>
    </row>
    <row r="85">
      <c r="A85" s="14"/>
      <c r="B85" s="10"/>
      <c r="C85" s="52">
        <v>609652.0</v>
      </c>
      <c r="D85" s="21" t="s">
        <v>20</v>
      </c>
      <c r="E85" s="10"/>
      <c r="F85" s="10"/>
      <c r="G85" s="10"/>
      <c r="H85" s="10"/>
      <c r="I85" s="14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>
      <c r="A86" s="14"/>
      <c r="B86" s="10"/>
      <c r="C86" s="10">
        <f>90802*12</f>
        <v>1089624</v>
      </c>
      <c r="D86" s="21" t="s">
        <v>21</v>
      </c>
      <c r="E86" s="10"/>
      <c r="F86" s="10"/>
      <c r="G86" s="10"/>
      <c r="H86" s="10"/>
      <c r="I86" s="14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49"/>
      <c r="W86" s="10"/>
      <c r="X86" s="10"/>
    </row>
    <row r="87">
      <c r="A87" s="14"/>
      <c r="B87" s="10"/>
      <c r="C87" s="36">
        <v>500000.0</v>
      </c>
      <c r="D87" s="21" t="s">
        <v>22</v>
      </c>
      <c r="E87" s="10"/>
      <c r="F87" s="10"/>
      <c r="G87" s="10"/>
      <c r="H87" s="10"/>
      <c r="I87" s="14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49"/>
      <c r="W87" s="10"/>
      <c r="X87" s="10"/>
    </row>
    <row r="88">
      <c r="A88" s="14"/>
      <c r="B88" s="10"/>
      <c r="C88" s="36">
        <v>500000.0</v>
      </c>
      <c r="D88" s="21" t="s">
        <v>87</v>
      </c>
      <c r="E88" s="10"/>
      <c r="F88" s="10"/>
      <c r="G88" s="10"/>
      <c r="H88" s="10"/>
      <c r="I88" s="14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>
      <c r="A89" s="14"/>
      <c r="B89" s="10"/>
      <c r="C89" s="36">
        <v>250000.0</v>
      </c>
      <c r="D89" s="21" t="s">
        <v>28</v>
      </c>
      <c r="E89" s="10"/>
      <c r="F89" s="10"/>
      <c r="G89" s="10"/>
      <c r="H89" s="10"/>
      <c r="I89" s="14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>
      <c r="A90" s="14"/>
      <c r="B90" s="10"/>
      <c r="C90" s="10">
        <f>sum(C85:C89)</f>
        <v>2949276</v>
      </c>
      <c r="D90" s="21" t="s">
        <v>1</v>
      </c>
      <c r="E90" s="10"/>
      <c r="F90" s="10"/>
      <c r="G90" s="10"/>
      <c r="H90" s="10"/>
      <c r="I90" s="14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21"/>
      <c r="W90" s="10"/>
      <c r="X90" s="10"/>
    </row>
    <row r="91">
      <c r="A91" s="14"/>
      <c r="B91" s="10"/>
      <c r="C91" s="10"/>
      <c r="D91" s="53"/>
      <c r="E91" s="10"/>
      <c r="F91" s="10"/>
      <c r="G91" s="10"/>
      <c r="H91" s="10"/>
      <c r="I91" s="14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36"/>
      <c r="W91" s="10"/>
      <c r="X91" s="10"/>
    </row>
    <row r="92">
      <c r="A92" s="14"/>
      <c r="B92" s="10"/>
      <c r="C92" s="10"/>
      <c r="D92" s="53"/>
      <c r="E92" s="10"/>
      <c r="F92" s="10"/>
      <c r="G92" s="10"/>
      <c r="H92" s="10"/>
      <c r="I92" s="14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36"/>
      <c r="W92" s="10"/>
      <c r="X92" s="10"/>
    </row>
    <row r="93">
      <c r="A93" s="14"/>
      <c r="B93" s="10"/>
      <c r="C93" s="10"/>
      <c r="D93" s="53"/>
      <c r="E93" s="10"/>
      <c r="F93" s="10"/>
      <c r="G93" s="10"/>
      <c r="H93" s="10"/>
      <c r="I93" s="14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>
      <c r="A94" s="14"/>
      <c r="B94" s="10"/>
      <c r="C94" s="10"/>
      <c r="D94" s="10"/>
      <c r="E94" s="10"/>
      <c r="F94" s="10"/>
      <c r="G94" s="10"/>
      <c r="H94" s="10"/>
      <c r="I94" s="14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>
      <c r="A95" s="14"/>
      <c r="B95" s="10"/>
      <c r="C95" s="10"/>
      <c r="D95" s="10"/>
      <c r="E95" s="10"/>
      <c r="F95" s="10"/>
      <c r="G95" s="10"/>
      <c r="H95" s="10"/>
      <c r="I95" s="14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49"/>
      <c r="W95" s="10"/>
      <c r="X95" s="10"/>
    </row>
    <row r="96">
      <c r="A96" s="14"/>
      <c r="B96" s="10"/>
      <c r="C96" s="10"/>
      <c r="D96" s="10"/>
      <c r="E96" s="10"/>
      <c r="F96" s="10"/>
      <c r="G96" s="10"/>
      <c r="H96" s="10"/>
      <c r="I96" s="14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49"/>
      <c r="W96" s="10"/>
      <c r="X96" s="10"/>
    </row>
    <row r="97">
      <c r="A97" s="14"/>
      <c r="B97" s="10"/>
      <c r="C97" s="10"/>
      <c r="D97" s="10"/>
      <c r="E97" s="10"/>
      <c r="F97" s="10"/>
      <c r="G97" s="10"/>
      <c r="H97" s="10"/>
      <c r="I97" s="14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>
      <c r="A98" s="14"/>
      <c r="B98" s="10"/>
      <c r="C98" s="10"/>
      <c r="D98" s="10"/>
      <c r="E98" s="10"/>
      <c r="F98" s="10"/>
      <c r="G98" s="10"/>
      <c r="H98" s="10"/>
      <c r="I98" s="14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36"/>
      <c r="V98" s="36"/>
      <c r="W98" s="10"/>
      <c r="X98" s="10"/>
    </row>
    <row r="99">
      <c r="A99" s="14"/>
      <c r="B99" s="10"/>
      <c r="C99" s="10"/>
      <c r="D99" s="10"/>
      <c r="E99" s="10"/>
      <c r="F99" s="10"/>
      <c r="G99" s="10"/>
      <c r="H99" s="10"/>
      <c r="I99" s="14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36"/>
      <c r="W99" s="10"/>
      <c r="X99" s="10"/>
    </row>
    <row r="100">
      <c r="A100" s="14"/>
      <c r="B100" s="10"/>
      <c r="C100" s="10"/>
      <c r="D100" s="10"/>
      <c r="E100" s="10"/>
      <c r="F100" s="10"/>
      <c r="G100" s="10"/>
      <c r="H100" s="10"/>
      <c r="I100" s="14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>
      <c r="A101" s="14"/>
      <c r="B101" s="10"/>
      <c r="C101" s="10"/>
      <c r="D101" s="10"/>
      <c r="E101" s="10"/>
      <c r="F101" s="10"/>
      <c r="G101" s="10"/>
      <c r="H101" s="10"/>
      <c r="I101" s="14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>
      <c r="A102" s="14"/>
      <c r="B102" s="10"/>
      <c r="C102" s="10"/>
      <c r="D102" s="10"/>
      <c r="E102" s="10"/>
      <c r="F102" s="10"/>
      <c r="G102" s="10"/>
      <c r="H102" s="10"/>
      <c r="I102" s="14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>
      <c r="A103" s="14"/>
      <c r="B103" s="10"/>
      <c r="C103" s="10"/>
      <c r="D103" s="10"/>
      <c r="E103" s="10"/>
      <c r="F103" s="10"/>
      <c r="G103" s="10"/>
      <c r="H103" s="10"/>
      <c r="I103" s="14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>
      <c r="A104" s="14"/>
      <c r="B104" s="10"/>
      <c r="C104" s="10"/>
      <c r="D104" s="10"/>
      <c r="E104" s="10"/>
      <c r="F104" s="10"/>
      <c r="G104" s="10"/>
      <c r="H104" s="10"/>
      <c r="I104" s="14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>
      <c r="A105" s="14"/>
      <c r="B105" s="10"/>
      <c r="C105" s="10"/>
      <c r="D105" s="10"/>
      <c r="E105" s="10"/>
      <c r="F105" s="10"/>
      <c r="G105" s="10"/>
      <c r="H105" s="10"/>
      <c r="I105" s="14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>
      <c r="A106" s="14"/>
      <c r="B106" s="10"/>
      <c r="C106" s="10"/>
      <c r="D106" s="10"/>
      <c r="E106" s="10"/>
      <c r="F106" s="10"/>
      <c r="G106" s="10"/>
      <c r="H106" s="10"/>
      <c r="I106" s="14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>
      <c r="A107" s="14"/>
      <c r="B107" s="10"/>
      <c r="C107" s="10"/>
      <c r="D107" s="10"/>
      <c r="E107" s="10"/>
      <c r="F107" s="10"/>
      <c r="G107" s="10"/>
      <c r="H107" s="10"/>
      <c r="I107" s="14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>
      <c r="A108" s="14"/>
      <c r="B108" s="10"/>
      <c r="C108" s="10"/>
      <c r="D108" s="10"/>
      <c r="E108" s="10"/>
      <c r="F108" s="10"/>
      <c r="G108" s="10"/>
      <c r="H108" s="10"/>
      <c r="I108" s="14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>
      <c r="A109" s="14"/>
      <c r="B109" s="10"/>
      <c r="C109" s="10"/>
      <c r="D109" s="10"/>
      <c r="E109" s="10"/>
      <c r="F109" s="10"/>
      <c r="G109" s="10"/>
      <c r="H109" s="10"/>
      <c r="I109" s="14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>
      <c r="A110" s="14"/>
      <c r="B110" s="10"/>
      <c r="C110" s="10"/>
      <c r="D110" s="10"/>
      <c r="E110" s="10"/>
      <c r="F110" s="10"/>
      <c r="G110" s="10"/>
      <c r="H110" s="10"/>
      <c r="I110" s="14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>
      <c r="A111" s="14"/>
      <c r="B111" s="10"/>
      <c r="C111" s="10"/>
      <c r="D111" s="10"/>
      <c r="E111" s="10"/>
      <c r="F111" s="10"/>
      <c r="G111" s="10"/>
      <c r="H111" s="10"/>
      <c r="I111" s="14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8" max="8" width="16.38"/>
    <col customWidth="1" min="9" max="9" width="6.38"/>
    <col customWidth="1" min="10" max="16" width="11.13"/>
    <col customWidth="1" min="17" max="19" width="10.13"/>
  </cols>
  <sheetData>
    <row r="1">
      <c r="A1" s="54"/>
      <c r="B1" s="55"/>
      <c r="C1" s="55"/>
      <c r="D1" s="55"/>
      <c r="E1" s="55"/>
      <c r="F1" s="55"/>
      <c r="G1" s="55"/>
      <c r="H1" s="55"/>
      <c r="I1" s="55"/>
      <c r="J1" s="55"/>
      <c r="K1" s="56"/>
      <c r="L1" s="56"/>
      <c r="M1" s="56"/>
      <c r="N1" s="56"/>
      <c r="O1" s="56"/>
      <c r="P1" s="56"/>
      <c r="Q1" s="56"/>
      <c r="R1" s="56"/>
      <c r="S1" s="56"/>
    </row>
    <row r="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6"/>
      <c r="R2" s="56"/>
      <c r="S2" s="56"/>
    </row>
    <row r="3">
      <c r="A3" s="55"/>
      <c r="B3" s="55"/>
      <c r="C3" s="55"/>
      <c r="D3" s="55"/>
      <c r="E3" s="55"/>
      <c r="F3" s="55"/>
      <c r="G3" s="55"/>
      <c r="H3" s="55"/>
      <c r="I3" s="55"/>
      <c r="J3" s="57" t="s">
        <v>88</v>
      </c>
      <c r="K3" s="58"/>
      <c r="L3" s="58"/>
      <c r="M3" s="58"/>
      <c r="N3" s="58"/>
      <c r="O3" s="58"/>
      <c r="P3" s="59"/>
      <c r="Q3" s="56"/>
      <c r="R3" s="56"/>
      <c r="S3" s="56"/>
    </row>
    <row r="4">
      <c r="A4" s="55"/>
      <c r="B4" s="55"/>
      <c r="C4" s="55"/>
      <c r="D4" s="55"/>
      <c r="E4" s="55"/>
      <c r="F4" s="55"/>
      <c r="G4" s="55"/>
      <c r="H4" s="55"/>
      <c r="I4" s="55"/>
      <c r="J4" s="60" t="str">
        <f>IFERROR(__xludf.DUMMYFUNCTION("query({Delivery_Data!$A:$I},""select Col1,sum(Col8) where Col1 is not null and Col8 is not null group by Col1 pivot Col6"",1)"),"Year")</f>
        <v>Year</v>
      </c>
      <c r="K4" s="61" t="str">
        <f>IFERROR(__xludf.DUMMYFUNCTION("""COMPUTED_VALUE"""),"Canada")</f>
        <v>Canada</v>
      </c>
      <c r="L4" s="61" t="str">
        <f>IFERROR(__xludf.DUMMYFUNCTION("""COMPUTED_VALUE"""),"China")</f>
        <v>China</v>
      </c>
      <c r="M4" s="61" t="str">
        <f>IFERROR(__xludf.DUMMYFUNCTION("""COMPUTED_VALUE"""),"Europe")</f>
        <v>Europe</v>
      </c>
      <c r="N4" s="61" t="str">
        <f>IFERROR(__xludf.DUMMYFUNCTION("""COMPUTED_VALUE"""),"ROW")</f>
        <v>ROW</v>
      </c>
      <c r="O4" s="61" t="str">
        <f>IFERROR(__xludf.DUMMYFUNCTION("""COMPUTED_VALUE"""),"USA")</f>
        <v>USA</v>
      </c>
      <c r="P4" s="62" t="s">
        <v>89</v>
      </c>
      <c r="Q4" s="56"/>
      <c r="R4" s="56"/>
      <c r="S4" s="56"/>
    </row>
    <row r="5" hidden="1">
      <c r="A5" s="55"/>
      <c r="B5" s="55"/>
      <c r="C5" s="55"/>
      <c r="D5" s="55"/>
      <c r="E5" s="55"/>
      <c r="F5" s="55"/>
      <c r="G5" s="55"/>
      <c r="H5" s="55"/>
      <c r="I5" s="55"/>
      <c r="J5" s="63">
        <f>IFERROR(__xludf.DUMMYFUNCTION("""COMPUTED_VALUE"""),2012.0)</f>
        <v>2012</v>
      </c>
      <c r="K5" s="64">
        <f>IFERROR(__xludf.DUMMYFUNCTION("""COMPUTED_VALUE"""),95.0)</f>
        <v>95</v>
      </c>
      <c r="L5" s="64"/>
      <c r="M5" s="64"/>
      <c r="N5" s="64"/>
      <c r="O5" s="64">
        <f>IFERROR(__xludf.DUMMYFUNCTION("""COMPUTED_VALUE"""),2555.0)</f>
        <v>2555</v>
      </c>
      <c r="P5" s="65">
        <f t="shared" ref="P5:P19" si="1">sum(K5:O5)</f>
        <v>2650</v>
      </c>
      <c r="Q5" s="56"/>
      <c r="R5" s="56"/>
      <c r="S5" s="56"/>
    </row>
    <row r="6" hidden="1">
      <c r="A6" s="55"/>
      <c r="B6" s="55"/>
      <c r="C6" s="55"/>
      <c r="D6" s="55"/>
      <c r="E6" s="55"/>
      <c r="F6" s="55"/>
      <c r="G6" s="55"/>
      <c r="H6" s="55"/>
      <c r="I6" s="55"/>
      <c r="J6" s="66">
        <f>IFERROR(__xludf.DUMMYFUNCTION("""COMPUTED_VALUE"""),2013.0)</f>
        <v>2013</v>
      </c>
      <c r="K6" s="64">
        <f>IFERROR(__xludf.DUMMYFUNCTION("""COMPUTED_VALUE"""),638.0)</f>
        <v>638</v>
      </c>
      <c r="L6" s="64"/>
      <c r="M6" s="64">
        <f>IFERROR(__xludf.DUMMYFUNCTION("""COMPUTED_VALUE"""),3893.0)</f>
        <v>3893</v>
      </c>
      <c r="N6" s="64"/>
      <c r="O6" s="64">
        <f>IFERROR(__xludf.DUMMYFUNCTION("""COMPUTED_VALUE"""),17946.0)</f>
        <v>17946</v>
      </c>
      <c r="P6" s="65">
        <f t="shared" si="1"/>
        <v>22477</v>
      </c>
      <c r="Q6" s="56"/>
      <c r="R6" s="56"/>
      <c r="S6" s="56"/>
    </row>
    <row r="7" hidden="1">
      <c r="A7" s="55"/>
      <c r="B7" s="55"/>
      <c r="C7" s="55"/>
      <c r="D7" s="55"/>
      <c r="E7" s="55"/>
      <c r="F7" s="55"/>
      <c r="G7" s="55"/>
      <c r="H7" s="55"/>
      <c r="I7" s="55"/>
      <c r="J7" s="66">
        <f>IFERROR(__xludf.DUMMYFUNCTION("""COMPUTED_VALUE"""),2014.0)</f>
        <v>2014</v>
      </c>
      <c r="K7" s="64">
        <f>IFERROR(__xludf.DUMMYFUNCTION("""COMPUTED_VALUE"""),784.0)</f>
        <v>784</v>
      </c>
      <c r="L7" s="64">
        <f>IFERROR(__xludf.DUMMYFUNCTION("""COMPUTED_VALUE"""),4122.0)</f>
        <v>4122</v>
      </c>
      <c r="M7" s="64">
        <f>IFERROR(__xludf.DUMMYFUNCTION("""COMPUTED_VALUE"""),9521.0)</f>
        <v>9521</v>
      </c>
      <c r="N7" s="64">
        <f>IFERROR(__xludf.DUMMYFUNCTION("""COMPUTED_VALUE"""),539.0)</f>
        <v>539</v>
      </c>
      <c r="O7" s="64">
        <f>IFERROR(__xludf.DUMMYFUNCTION("""COMPUTED_VALUE"""),16689.0)</f>
        <v>16689</v>
      </c>
      <c r="P7" s="65">
        <f t="shared" si="1"/>
        <v>31655</v>
      </c>
      <c r="Q7" s="56"/>
      <c r="R7" s="56"/>
      <c r="S7" s="56"/>
    </row>
    <row r="8" hidden="1">
      <c r="A8" s="55"/>
      <c r="B8" s="55"/>
      <c r="C8" s="55"/>
      <c r="D8" s="55"/>
      <c r="E8" s="55"/>
      <c r="F8" s="55"/>
      <c r="G8" s="55"/>
      <c r="H8" s="55"/>
      <c r="I8" s="55"/>
      <c r="J8" s="66">
        <f>IFERROR(__xludf.DUMMYFUNCTION("""COMPUTED_VALUE"""),2015.0)</f>
        <v>2015</v>
      </c>
      <c r="K8" s="64">
        <f>IFERROR(__xludf.DUMMYFUNCTION("""COMPUTED_VALUE"""),1600.0)</f>
        <v>1600</v>
      </c>
      <c r="L8" s="64">
        <f>IFERROR(__xludf.DUMMYFUNCTION("""COMPUTED_VALUE"""),3692.0)</f>
        <v>3692</v>
      </c>
      <c r="M8" s="64">
        <f>IFERROR(__xludf.DUMMYFUNCTION("""COMPUTED_VALUE"""),16701.0)</f>
        <v>16701</v>
      </c>
      <c r="N8" s="64">
        <f>IFERROR(__xludf.DUMMYFUNCTION("""COMPUTED_VALUE"""),3463.0)</f>
        <v>3463</v>
      </c>
      <c r="O8" s="64">
        <f>IFERROR(__xludf.DUMMYFUNCTION("""COMPUTED_VALUE"""),25202.0)</f>
        <v>25202</v>
      </c>
      <c r="P8" s="65">
        <f t="shared" si="1"/>
        <v>50658</v>
      </c>
      <c r="Q8" s="56"/>
      <c r="R8" s="56"/>
      <c r="S8" s="56"/>
    </row>
    <row r="9" hidden="1">
      <c r="A9" s="55"/>
      <c r="B9" s="55"/>
      <c r="C9" s="55"/>
      <c r="D9" s="55"/>
      <c r="E9" s="55"/>
      <c r="F9" s="55"/>
      <c r="G9" s="55"/>
      <c r="H9" s="55"/>
      <c r="I9" s="55"/>
      <c r="J9" s="66">
        <f>IFERROR(__xludf.DUMMYFUNCTION("""COMPUTED_VALUE"""),2016.0)</f>
        <v>2016</v>
      </c>
      <c r="K9" s="64">
        <f>IFERROR(__xludf.DUMMYFUNCTION("""COMPUTED_VALUE"""),2283.0)</f>
        <v>2283</v>
      </c>
      <c r="L9" s="64">
        <f>IFERROR(__xludf.DUMMYFUNCTION("""COMPUTED_VALUE"""),8377.0)</f>
        <v>8377</v>
      </c>
      <c r="M9" s="64">
        <f>IFERROR(__xludf.DUMMYFUNCTION("""COMPUTED_VALUE"""),16230.0)</f>
        <v>16230</v>
      </c>
      <c r="N9" s="64">
        <f>IFERROR(__xludf.DUMMYFUNCTION("""COMPUTED_VALUE"""),3660.0)</f>
        <v>3660</v>
      </c>
      <c r="O9" s="64">
        <f>IFERROR(__xludf.DUMMYFUNCTION("""COMPUTED_VALUE"""),45735.0)</f>
        <v>45735</v>
      </c>
      <c r="P9" s="65">
        <f t="shared" si="1"/>
        <v>76285</v>
      </c>
      <c r="Q9" s="56"/>
      <c r="R9" s="56"/>
      <c r="S9" s="56"/>
    </row>
    <row r="10">
      <c r="A10" s="55"/>
      <c r="B10" s="55"/>
      <c r="C10" s="55"/>
      <c r="D10" s="55"/>
      <c r="E10" s="55"/>
      <c r="F10" s="55"/>
      <c r="G10" s="55"/>
      <c r="H10" s="55"/>
      <c r="I10" s="55"/>
      <c r="J10" s="66">
        <f>IFERROR(__xludf.DUMMYFUNCTION("""COMPUTED_VALUE"""),2017.0)</f>
        <v>2017</v>
      </c>
      <c r="K10" s="64">
        <f>IFERROR(__xludf.DUMMYFUNCTION("""COMPUTED_VALUE"""),2361.0)</f>
        <v>2361</v>
      </c>
      <c r="L10" s="64">
        <f>IFERROR(__xludf.DUMMYFUNCTION("""COMPUTED_VALUE"""),14829.0)</f>
        <v>14829</v>
      </c>
      <c r="M10" s="64">
        <f>IFERROR(__xludf.DUMMYFUNCTION("""COMPUTED_VALUE"""),28279.0)</f>
        <v>28279</v>
      </c>
      <c r="N10" s="64">
        <f>IFERROR(__xludf.DUMMYFUNCTION("""COMPUTED_VALUE"""),7323.0)</f>
        <v>7323</v>
      </c>
      <c r="O10" s="64">
        <f>IFERROR(__xludf.DUMMYFUNCTION("""COMPUTED_VALUE"""),50389.0)</f>
        <v>50389</v>
      </c>
      <c r="P10" s="65">
        <f t="shared" si="1"/>
        <v>103181</v>
      </c>
      <c r="Q10" s="56"/>
      <c r="R10" s="56"/>
      <c r="S10" s="56"/>
    </row>
    <row r="11">
      <c r="A11" s="55"/>
      <c r="B11" s="55"/>
      <c r="C11" s="55"/>
      <c r="D11" s="55"/>
      <c r="E11" s="55"/>
      <c r="F11" s="55"/>
      <c r="G11" s="55"/>
      <c r="H11" s="55"/>
      <c r="I11" s="55"/>
      <c r="J11" s="66">
        <f>IFERROR(__xludf.DUMMYFUNCTION("""COMPUTED_VALUE"""),2018.0)</f>
        <v>2018</v>
      </c>
      <c r="K11" s="64">
        <f>IFERROR(__xludf.DUMMYFUNCTION("""COMPUTED_VALUE"""),7200.0)</f>
        <v>7200</v>
      </c>
      <c r="L11" s="64">
        <f>IFERROR(__xludf.DUMMYFUNCTION("""COMPUTED_VALUE"""),15029.0)</f>
        <v>15029</v>
      </c>
      <c r="M11" s="64">
        <f>IFERROR(__xludf.DUMMYFUNCTION("""COMPUTED_VALUE"""),29257.0)</f>
        <v>29257</v>
      </c>
      <c r="N11" s="64">
        <f>IFERROR(__xludf.DUMMYFUNCTION("""COMPUTED_VALUE"""),3379.0)</f>
        <v>3379</v>
      </c>
      <c r="O11" s="64">
        <f>IFERROR(__xludf.DUMMYFUNCTION("""COMPUTED_VALUE"""),190641.0)</f>
        <v>190641</v>
      </c>
      <c r="P11" s="65">
        <f t="shared" si="1"/>
        <v>245506</v>
      </c>
      <c r="Q11" s="56"/>
      <c r="R11" s="56"/>
      <c r="S11" s="56"/>
    </row>
    <row r="12">
      <c r="A12" s="55"/>
      <c r="B12" s="55"/>
      <c r="C12" s="55"/>
      <c r="D12" s="55"/>
      <c r="E12" s="55"/>
      <c r="F12" s="55"/>
      <c r="G12" s="55"/>
      <c r="H12" s="55"/>
      <c r="I12" s="55"/>
      <c r="J12" s="66">
        <f>IFERROR(__xludf.DUMMYFUNCTION("""COMPUTED_VALUE"""),2019.0)</f>
        <v>2019</v>
      </c>
      <c r="K12" s="64">
        <f>IFERROR(__xludf.DUMMYFUNCTION("""COMPUTED_VALUE"""),15789.0)</f>
        <v>15789</v>
      </c>
      <c r="L12" s="64">
        <f>IFERROR(__xludf.DUMMYFUNCTION("""COMPUTED_VALUE"""),41298.0)</f>
        <v>41298</v>
      </c>
      <c r="M12" s="64">
        <f>IFERROR(__xludf.DUMMYFUNCTION("""COMPUTED_VALUE"""),111119.0)</f>
        <v>111119</v>
      </c>
      <c r="N12" s="64">
        <f>IFERROR(__xludf.DUMMYFUNCTION("""COMPUTED_VALUE"""),11960.0)</f>
        <v>11960</v>
      </c>
      <c r="O12" s="64">
        <f>IFERROR(__xludf.DUMMYFUNCTION("""COMPUTED_VALUE"""),187490.0)</f>
        <v>187490</v>
      </c>
      <c r="P12" s="65">
        <f t="shared" si="1"/>
        <v>367656</v>
      </c>
      <c r="Q12" s="56"/>
      <c r="R12" s="56"/>
      <c r="S12" s="56"/>
    </row>
    <row r="13">
      <c r="A13" s="55"/>
      <c r="B13" s="55"/>
      <c r="C13" s="55"/>
      <c r="D13" s="55"/>
      <c r="E13" s="55"/>
      <c r="F13" s="55"/>
      <c r="G13" s="55"/>
      <c r="H13" s="55"/>
      <c r="I13" s="55"/>
      <c r="J13" s="66">
        <f>IFERROR(__xludf.DUMMYFUNCTION("""COMPUTED_VALUE"""),2020.0)</f>
        <v>2020</v>
      </c>
      <c r="K13" s="64">
        <f>IFERROR(__xludf.DUMMYFUNCTION("""COMPUTED_VALUE"""),18402.0)</f>
        <v>18402</v>
      </c>
      <c r="L13" s="64">
        <f>IFERROR(__xludf.DUMMYFUNCTION("""COMPUTED_VALUE"""),146470.0)</f>
        <v>146470</v>
      </c>
      <c r="M13" s="64">
        <f>IFERROR(__xludf.DUMMYFUNCTION("""COMPUTED_VALUE"""),99186.0)</f>
        <v>99186</v>
      </c>
      <c r="N13" s="64">
        <f>IFERROR(__xludf.DUMMYFUNCTION("""COMPUTED_VALUE"""),27189.0)</f>
        <v>27189</v>
      </c>
      <c r="O13" s="64">
        <f>IFERROR(__xludf.DUMMYFUNCTION("""COMPUTED_VALUE"""),208400.0)</f>
        <v>208400</v>
      </c>
      <c r="P13" s="65">
        <f t="shared" si="1"/>
        <v>499647</v>
      </c>
      <c r="Q13" s="56"/>
      <c r="R13" s="56"/>
      <c r="S13" s="56"/>
    </row>
    <row r="14">
      <c r="A14" s="55"/>
      <c r="B14" s="55"/>
      <c r="C14" s="55"/>
      <c r="D14" s="55"/>
      <c r="E14" s="55"/>
      <c r="F14" s="55"/>
      <c r="G14" s="55"/>
      <c r="H14" s="55"/>
      <c r="I14" s="55"/>
      <c r="J14" s="66">
        <f>IFERROR(__xludf.DUMMYFUNCTION("""COMPUTED_VALUE"""),2021.0)</f>
        <v>2021</v>
      </c>
      <c r="K14" s="64">
        <f>IFERROR(__xludf.DUMMYFUNCTION("""COMPUTED_VALUE"""),26369.0)</f>
        <v>26369</v>
      </c>
      <c r="L14" s="64">
        <f>IFERROR(__xludf.DUMMYFUNCTION("""COMPUTED_VALUE"""),321270.0)</f>
        <v>321270</v>
      </c>
      <c r="M14" s="64">
        <f>IFERROR(__xludf.DUMMYFUNCTION("""COMPUTED_VALUE"""),169351.0)</f>
        <v>169351</v>
      </c>
      <c r="N14" s="64">
        <f>IFERROR(__xludf.DUMMYFUNCTION("""COMPUTED_VALUE"""),59227.0)</f>
        <v>59227</v>
      </c>
      <c r="O14" s="64">
        <f>IFERROR(__xludf.DUMMYFUNCTION("""COMPUTED_VALUE"""),360005.0)</f>
        <v>360005</v>
      </c>
      <c r="P14" s="65">
        <f t="shared" si="1"/>
        <v>936222</v>
      </c>
      <c r="Q14" s="56"/>
      <c r="R14" s="56"/>
      <c r="S14" s="56"/>
    </row>
    <row r="15">
      <c r="A15" s="55"/>
      <c r="B15" s="55"/>
      <c r="C15" s="55"/>
      <c r="D15" s="55"/>
      <c r="E15" s="55"/>
      <c r="F15" s="55"/>
      <c r="G15" s="55"/>
      <c r="H15" s="55"/>
      <c r="I15" s="55"/>
      <c r="J15" s="66">
        <f>IFERROR(__xludf.DUMMYFUNCTION("""COMPUTED_VALUE"""),2022.0)</f>
        <v>2022</v>
      </c>
      <c r="K15" s="64">
        <f>IFERROR(__xludf.DUMMYFUNCTION("""COMPUTED_VALUE"""),44390.0)</f>
        <v>44390</v>
      </c>
      <c r="L15" s="64">
        <f>IFERROR(__xludf.DUMMYFUNCTION("""COMPUTED_VALUE"""),439770.0)</f>
        <v>439770</v>
      </c>
      <c r="M15" s="64">
        <f>IFERROR(__xludf.DUMMYFUNCTION("""COMPUTED_VALUE"""),233964.0)</f>
        <v>233964</v>
      </c>
      <c r="N15" s="64">
        <f>IFERROR(__xludf.DUMMYFUNCTION("""COMPUTED_VALUE"""),84675.0)</f>
        <v>84675</v>
      </c>
      <c r="O15" s="64">
        <f>IFERROR(__xludf.DUMMYFUNCTION("""COMPUTED_VALUE"""),511052.0)</f>
        <v>511052</v>
      </c>
      <c r="P15" s="65">
        <f t="shared" si="1"/>
        <v>1313851</v>
      </c>
      <c r="Q15" s="56"/>
      <c r="R15" s="56"/>
      <c r="S15" s="56"/>
    </row>
    <row r="16">
      <c r="A16" s="55"/>
      <c r="B16" s="55"/>
      <c r="C16" s="55"/>
      <c r="D16" s="55"/>
      <c r="E16" s="55"/>
      <c r="F16" s="55"/>
      <c r="G16" s="55"/>
      <c r="H16" s="55"/>
      <c r="I16" s="55"/>
      <c r="J16" s="66">
        <f>IFERROR(__xludf.DUMMYFUNCTION("""COMPUTED_VALUE"""),2023.0)</f>
        <v>2023</v>
      </c>
      <c r="K16" s="64">
        <f>IFERROR(__xludf.DUMMYFUNCTION("""COMPUTED_VALUE"""),51222.0)</f>
        <v>51222</v>
      </c>
      <c r="L16" s="64">
        <f>IFERROR(__xludf.DUMMYFUNCTION("""COMPUTED_VALUE"""),610685.0)</f>
        <v>610685</v>
      </c>
      <c r="M16" s="64">
        <f>IFERROR(__xludf.DUMMYFUNCTION("""COMPUTED_VALUE"""),365171.0)</f>
        <v>365171</v>
      </c>
      <c r="N16" s="64">
        <f>IFERROR(__xludf.DUMMYFUNCTION("""COMPUTED_VALUE"""),132864.0)</f>
        <v>132864</v>
      </c>
      <c r="O16" s="64">
        <f>IFERROR(__xludf.DUMMYFUNCTION("""COMPUTED_VALUE"""),648639.0)</f>
        <v>648639</v>
      </c>
      <c r="P16" s="65">
        <f t="shared" si="1"/>
        <v>1808581</v>
      </c>
      <c r="Q16" s="56"/>
      <c r="R16" s="56"/>
      <c r="S16" s="56"/>
    </row>
    <row r="17">
      <c r="A17" s="55"/>
      <c r="B17" s="55"/>
      <c r="C17" s="55"/>
      <c r="D17" s="55"/>
      <c r="E17" s="55"/>
      <c r="F17" s="55"/>
      <c r="G17" s="55"/>
      <c r="H17" s="55"/>
      <c r="I17" s="55"/>
      <c r="J17" s="66">
        <f>IFERROR(__xludf.DUMMYFUNCTION("""COMPUTED_VALUE"""),2024.0)</f>
        <v>2024</v>
      </c>
      <c r="K17" s="64">
        <f>IFERROR(__xludf.DUMMYFUNCTION("""COMPUTED_VALUE"""),45621.0)</f>
        <v>45621</v>
      </c>
      <c r="L17" s="64">
        <f>IFERROR(__xludf.DUMMYFUNCTION("""COMPUTED_VALUE"""),659147.0)</f>
        <v>659147</v>
      </c>
      <c r="M17" s="64">
        <f>IFERROR(__xludf.DUMMYFUNCTION("""COMPUTED_VALUE"""),325989.0)</f>
        <v>325989</v>
      </c>
      <c r="N17" s="64">
        <f>IFERROR(__xludf.DUMMYFUNCTION("""COMPUTED_VALUE"""),138520.0)</f>
        <v>138520</v>
      </c>
      <c r="O17" s="64">
        <f>IFERROR(__xludf.DUMMYFUNCTION("""COMPUTED_VALUE"""),619949.0)</f>
        <v>619949</v>
      </c>
      <c r="P17" s="65">
        <f t="shared" si="1"/>
        <v>1789226</v>
      </c>
      <c r="Q17" s="56"/>
      <c r="R17" s="56"/>
      <c r="S17" s="56"/>
    </row>
    <row r="18">
      <c r="A18" s="55"/>
      <c r="B18" s="55"/>
      <c r="C18" s="55"/>
      <c r="D18" s="55"/>
      <c r="E18" s="55"/>
      <c r="F18" s="55"/>
      <c r="G18" s="55"/>
      <c r="H18" s="55"/>
      <c r="I18" s="55"/>
      <c r="J18" s="67">
        <f>IFERROR(__xludf.DUMMYFUNCTION("""COMPUTED_VALUE"""),2025.0)</f>
        <v>2025</v>
      </c>
      <c r="K18" s="64">
        <f>IFERROR(__xludf.DUMMYFUNCTION("""COMPUTED_VALUE"""),11130.0)</f>
        <v>11130</v>
      </c>
      <c r="L18" s="64">
        <f>IFERROR(__xludf.DUMMYFUNCTION("""COMPUTED_VALUE"""),626594.0)</f>
        <v>626594</v>
      </c>
      <c r="M18" s="64">
        <f>IFERROR(__xludf.DUMMYFUNCTION("""COMPUTED_VALUE"""),238282.0)</f>
        <v>238282</v>
      </c>
      <c r="N18" s="64">
        <f>IFERROR(__xludf.DUMMYFUNCTION("""COMPUTED_VALUE"""),185196.0)</f>
        <v>185196</v>
      </c>
      <c r="O18" s="64">
        <f>IFERROR(__xludf.DUMMYFUNCTION("""COMPUTED_VALUE"""),574927.0)</f>
        <v>574927</v>
      </c>
      <c r="P18" s="65">
        <f t="shared" si="1"/>
        <v>1636129</v>
      </c>
      <c r="Q18" s="56"/>
      <c r="R18" s="10"/>
      <c r="S18" s="10"/>
    </row>
    <row r="19" hidden="1">
      <c r="A19" s="55"/>
      <c r="B19" s="55"/>
      <c r="C19" s="55"/>
      <c r="D19" s="55"/>
      <c r="E19" s="55"/>
      <c r="F19" s="55"/>
      <c r="G19" s="55"/>
      <c r="H19" s="55"/>
      <c r="I19" s="55"/>
      <c r="J19" s="68" t="s">
        <v>1</v>
      </c>
      <c r="K19" s="69">
        <f t="shared" ref="K19:O19" si="2">sum(K5:K18)</f>
        <v>227884</v>
      </c>
      <c r="L19" s="69">
        <f t="shared" si="2"/>
        <v>2891283</v>
      </c>
      <c r="M19" s="69">
        <f t="shared" si="2"/>
        <v>1646943</v>
      </c>
      <c r="N19" s="69">
        <f t="shared" si="2"/>
        <v>657995</v>
      </c>
      <c r="O19" s="69">
        <f t="shared" si="2"/>
        <v>3459619</v>
      </c>
      <c r="P19" s="65">
        <f t="shared" si="1"/>
        <v>8883724</v>
      </c>
      <c r="Q19" s="56"/>
      <c r="R19" s="56"/>
      <c r="S19" s="56"/>
    </row>
    <row r="20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6"/>
      <c r="R20" s="56"/>
      <c r="S20" s="56"/>
    </row>
    <row r="2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10"/>
      <c r="N21" s="55"/>
      <c r="O21" s="55"/>
      <c r="P21" s="55"/>
      <c r="Q21" s="56"/>
      <c r="R21" s="56"/>
      <c r="S21" s="56"/>
    </row>
    <row r="22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6"/>
      <c r="R22" s="56"/>
      <c r="S22" s="56"/>
    </row>
    <row r="23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6"/>
      <c r="R23" s="56"/>
      <c r="S23" s="56"/>
    </row>
    <row r="24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6"/>
      <c r="R24" s="56"/>
      <c r="S24" s="56"/>
    </row>
    <row r="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6"/>
      <c r="R25" s="56"/>
      <c r="S25" s="56"/>
    </row>
    <row r="26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6"/>
      <c r="R26" s="56"/>
      <c r="S26" s="56"/>
    </row>
    <row r="27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6"/>
      <c r="R27" s="56"/>
      <c r="S27" s="56"/>
    </row>
    <row r="28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6"/>
      <c r="R28" s="56"/>
      <c r="S28" s="56"/>
    </row>
    <row r="29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6"/>
      <c r="R29" s="56"/>
      <c r="S29" s="56"/>
    </row>
    <row r="30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6"/>
      <c r="R30" s="56"/>
      <c r="S30" s="56"/>
    </row>
    <row r="3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6"/>
      <c r="R31" s="56"/>
      <c r="S31" s="56"/>
    </row>
    <row r="32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6"/>
      <c r="R32" s="56"/>
      <c r="S32" s="56"/>
    </row>
    <row r="33">
      <c r="A33" s="55"/>
      <c r="J33" s="57" t="s">
        <v>90</v>
      </c>
      <c r="K33" s="58"/>
      <c r="L33" s="58"/>
      <c r="M33" s="58"/>
      <c r="N33" s="58"/>
    </row>
    <row r="34">
      <c r="A34" s="55"/>
      <c r="J34" s="60" t="str">
        <f>IFERROR(__xludf.DUMMYFUNCTION("query({Delivery_Data!$A:$I},""select Col3,sum(Col8) where Col3&lt;&gt;'' and Col8 is not null group by Col3 pivot Col7"",1)"),"Quarter")</f>
        <v>Quarter</v>
      </c>
      <c r="K34" s="61" t="str">
        <f>IFERROR(__xludf.DUMMYFUNCTION("""COMPUTED_VALUE"""),"APAC")</f>
        <v>APAC</v>
      </c>
      <c r="L34" s="61" t="str">
        <f>IFERROR(__xludf.DUMMYFUNCTION("""COMPUTED_VALUE"""),"Europe")</f>
        <v>Europe</v>
      </c>
      <c r="M34" s="61" t="str">
        <f>IFERROR(__xludf.DUMMYFUNCTION("""COMPUTED_VALUE"""),"North America")</f>
        <v>North America</v>
      </c>
      <c r="N34" s="62" t="s">
        <v>1</v>
      </c>
    </row>
    <row r="35" hidden="1">
      <c r="A35" s="55"/>
      <c r="J35" s="70" t="str">
        <f>IFERROR(__xludf.DUMMYFUNCTION("""COMPUTED_VALUE"""),"2012 Q3")</f>
        <v>2012 Q3</v>
      </c>
      <c r="K35" s="64"/>
      <c r="L35" s="64"/>
      <c r="M35" s="64">
        <f>IFERROR(__xludf.DUMMYFUNCTION("""COMPUTED_VALUE"""),253.0)</f>
        <v>253</v>
      </c>
      <c r="N35" s="65">
        <f t="shared" ref="N35:N88" si="3">sum(K35:M35)</f>
        <v>253</v>
      </c>
    </row>
    <row r="36" hidden="1">
      <c r="A36" s="55"/>
      <c r="J36" s="70" t="str">
        <f>IFERROR(__xludf.DUMMYFUNCTION("""COMPUTED_VALUE"""),"2012 Q4")</f>
        <v>2012 Q4</v>
      </c>
      <c r="K36" s="64"/>
      <c r="L36" s="64"/>
      <c r="M36" s="64">
        <f>IFERROR(__xludf.DUMMYFUNCTION("""COMPUTED_VALUE"""),2397.0)</f>
        <v>2397</v>
      </c>
      <c r="N36" s="65">
        <f t="shared" si="3"/>
        <v>2397</v>
      </c>
    </row>
    <row r="37" hidden="1">
      <c r="A37" s="55"/>
      <c r="J37" s="70" t="str">
        <f>IFERROR(__xludf.DUMMYFUNCTION("""COMPUTED_VALUE"""),"2013 Q1")</f>
        <v>2013 Q1</v>
      </c>
      <c r="K37" s="64"/>
      <c r="L37" s="64"/>
      <c r="M37" s="64">
        <f>IFERROR(__xludf.DUMMYFUNCTION("""COMPUTED_VALUE"""),4911.0)</f>
        <v>4911</v>
      </c>
      <c r="N37" s="65">
        <f t="shared" si="3"/>
        <v>4911</v>
      </c>
    </row>
    <row r="38" hidden="1">
      <c r="A38" s="55"/>
      <c r="J38" s="70" t="str">
        <f>IFERROR(__xludf.DUMMYFUNCTION("""COMPUTED_VALUE"""),"2013 Q2")</f>
        <v>2013 Q2</v>
      </c>
      <c r="K38" s="64"/>
      <c r="L38" s="64"/>
      <c r="M38" s="64">
        <f>IFERROR(__xludf.DUMMYFUNCTION("""COMPUTED_VALUE"""),5162.0)</f>
        <v>5162</v>
      </c>
      <c r="N38" s="65">
        <f t="shared" si="3"/>
        <v>5162</v>
      </c>
    </row>
    <row r="39" hidden="1">
      <c r="A39" s="55"/>
      <c r="J39" s="70" t="str">
        <f>IFERROR(__xludf.DUMMYFUNCTION("""COMPUTED_VALUE"""),"2013 Q3")</f>
        <v>2013 Q3</v>
      </c>
      <c r="K39" s="64"/>
      <c r="L39" s="64">
        <f>IFERROR(__xludf.DUMMYFUNCTION("""COMPUTED_VALUE"""),1224.0)</f>
        <v>1224</v>
      </c>
      <c r="M39" s="64">
        <f>IFERROR(__xludf.DUMMYFUNCTION("""COMPUTED_VALUE"""),4288.0)</f>
        <v>4288</v>
      </c>
      <c r="N39" s="65">
        <f t="shared" si="3"/>
        <v>5512</v>
      </c>
    </row>
    <row r="40" hidden="1">
      <c r="A40" s="55"/>
      <c r="J40" s="70" t="str">
        <f>IFERROR(__xludf.DUMMYFUNCTION("""COMPUTED_VALUE"""),"2013 Q4")</f>
        <v>2013 Q4</v>
      </c>
      <c r="K40" s="64"/>
      <c r="L40" s="64">
        <f>IFERROR(__xludf.DUMMYFUNCTION("""COMPUTED_VALUE"""),2669.0)</f>
        <v>2669</v>
      </c>
      <c r="M40" s="64">
        <f>IFERROR(__xludf.DUMMYFUNCTION("""COMPUTED_VALUE"""),4223.0)</f>
        <v>4223</v>
      </c>
      <c r="N40" s="65">
        <f t="shared" si="3"/>
        <v>6892</v>
      </c>
    </row>
    <row r="41" hidden="1">
      <c r="A41" s="55"/>
      <c r="J41" s="70" t="str">
        <f>IFERROR(__xludf.DUMMYFUNCTION("""COMPUTED_VALUE"""),"2014 Q1")</f>
        <v>2014 Q1</v>
      </c>
      <c r="K41" s="64">
        <f>IFERROR(__xludf.DUMMYFUNCTION("""COMPUTED_VALUE"""),3.0)</f>
        <v>3</v>
      </c>
      <c r="L41" s="64">
        <f>IFERROR(__xludf.DUMMYFUNCTION("""COMPUTED_VALUE"""),3073.0)</f>
        <v>3073</v>
      </c>
      <c r="M41" s="64">
        <f>IFERROR(__xludf.DUMMYFUNCTION("""COMPUTED_VALUE"""),3381.0)</f>
        <v>3381</v>
      </c>
      <c r="N41" s="65">
        <f t="shared" si="3"/>
        <v>6457</v>
      </c>
    </row>
    <row r="42" hidden="1">
      <c r="A42" s="55"/>
      <c r="J42" s="70" t="str">
        <f>IFERROR(__xludf.DUMMYFUNCTION("""COMPUTED_VALUE"""),"2014 Q2")</f>
        <v>2014 Q2</v>
      </c>
      <c r="K42" s="64">
        <f>IFERROR(__xludf.DUMMYFUNCTION("""COMPUTED_VALUE"""),1543.0)</f>
        <v>1543</v>
      </c>
      <c r="L42" s="64">
        <f>IFERROR(__xludf.DUMMYFUNCTION("""COMPUTED_VALUE"""),2519.0)</f>
        <v>2519</v>
      </c>
      <c r="M42" s="64">
        <f>IFERROR(__xludf.DUMMYFUNCTION("""COMPUTED_VALUE"""),3517.0)</f>
        <v>3517</v>
      </c>
      <c r="N42" s="65">
        <f t="shared" si="3"/>
        <v>7579</v>
      </c>
    </row>
    <row r="43" hidden="1">
      <c r="A43" s="55"/>
      <c r="J43" s="70" t="str">
        <f>IFERROR(__xludf.DUMMYFUNCTION("""COMPUTED_VALUE"""),"2014 Q3")</f>
        <v>2014 Q3</v>
      </c>
      <c r="K43" s="64">
        <f>IFERROR(__xludf.DUMMYFUNCTION("""COMPUTED_VALUE"""),1188.0)</f>
        <v>1188</v>
      </c>
      <c r="L43" s="64">
        <f>IFERROR(__xludf.DUMMYFUNCTION("""COMPUTED_VALUE"""),1653.0)</f>
        <v>1653</v>
      </c>
      <c r="M43" s="64">
        <f>IFERROR(__xludf.DUMMYFUNCTION("""COMPUTED_VALUE"""),4944.0)</f>
        <v>4944</v>
      </c>
      <c r="N43" s="65">
        <f t="shared" si="3"/>
        <v>7785</v>
      </c>
    </row>
    <row r="44" hidden="1">
      <c r="A44" s="55"/>
      <c r="J44" s="70" t="str">
        <f>IFERROR(__xludf.DUMMYFUNCTION("""COMPUTED_VALUE"""),"2014 Q4")</f>
        <v>2014 Q4</v>
      </c>
      <c r="K44" s="64">
        <f>IFERROR(__xludf.DUMMYFUNCTION("""COMPUTED_VALUE"""),1927.0)</f>
        <v>1927</v>
      </c>
      <c r="L44" s="64">
        <f>IFERROR(__xludf.DUMMYFUNCTION("""COMPUTED_VALUE"""),2276.0)</f>
        <v>2276</v>
      </c>
      <c r="M44" s="64">
        <f>IFERROR(__xludf.DUMMYFUNCTION("""COMPUTED_VALUE"""),5631.0)</f>
        <v>5631</v>
      </c>
      <c r="N44" s="65">
        <f t="shared" si="3"/>
        <v>9834</v>
      </c>
    </row>
    <row r="45" hidden="1">
      <c r="A45" s="55"/>
      <c r="J45" s="70" t="str">
        <f>IFERROR(__xludf.DUMMYFUNCTION("""COMPUTED_VALUE"""),"2015 Q1")</f>
        <v>2015 Q1</v>
      </c>
      <c r="K45" s="64">
        <f>IFERROR(__xludf.DUMMYFUNCTION("""COMPUTED_VALUE"""),1665.0)</f>
        <v>1665</v>
      </c>
      <c r="L45" s="64">
        <f>IFERROR(__xludf.DUMMYFUNCTION("""COMPUTED_VALUE"""),3465.0)</f>
        <v>3465</v>
      </c>
      <c r="M45" s="64">
        <f>IFERROR(__xludf.DUMMYFUNCTION("""COMPUTED_VALUE"""),4915.0)</f>
        <v>4915</v>
      </c>
      <c r="N45" s="65">
        <f t="shared" si="3"/>
        <v>10045</v>
      </c>
    </row>
    <row r="46" hidden="1">
      <c r="A46" s="55"/>
      <c r="J46" s="70" t="str">
        <f>IFERROR(__xludf.DUMMYFUNCTION("""COMPUTED_VALUE"""),"2015 Q2")</f>
        <v>2015 Q2</v>
      </c>
      <c r="K46" s="64">
        <f>IFERROR(__xludf.DUMMYFUNCTION("""COMPUTED_VALUE"""),1236.0)</f>
        <v>1236</v>
      </c>
      <c r="L46" s="64">
        <f>IFERROR(__xludf.DUMMYFUNCTION("""COMPUTED_VALUE"""),3891.0)</f>
        <v>3891</v>
      </c>
      <c r="M46" s="64">
        <f>IFERROR(__xludf.DUMMYFUNCTION("""COMPUTED_VALUE"""),6405.0)</f>
        <v>6405</v>
      </c>
      <c r="N46" s="65">
        <f t="shared" si="3"/>
        <v>11532</v>
      </c>
    </row>
    <row r="47" hidden="1">
      <c r="A47" s="55"/>
      <c r="J47" s="70" t="str">
        <f>IFERROR(__xludf.DUMMYFUNCTION("""COMPUTED_VALUE"""),"2015 Q3")</f>
        <v>2015 Q3</v>
      </c>
      <c r="K47" s="64">
        <f>IFERROR(__xludf.DUMMYFUNCTION("""COMPUTED_VALUE"""),1635.0)</f>
        <v>1635</v>
      </c>
      <c r="L47" s="64">
        <f>IFERROR(__xludf.DUMMYFUNCTION("""COMPUTED_VALUE"""),3520.0)</f>
        <v>3520</v>
      </c>
      <c r="M47" s="64">
        <f>IFERROR(__xludf.DUMMYFUNCTION("""COMPUTED_VALUE"""),6448.0)</f>
        <v>6448</v>
      </c>
      <c r="N47" s="65">
        <f t="shared" si="3"/>
        <v>11603</v>
      </c>
    </row>
    <row r="48" hidden="1">
      <c r="A48" s="55"/>
      <c r="J48" s="70" t="str">
        <f>IFERROR(__xludf.DUMMYFUNCTION("""COMPUTED_VALUE"""),"2015 Q4")</f>
        <v>2015 Q4</v>
      </c>
      <c r="K48" s="64">
        <f>IFERROR(__xludf.DUMMYFUNCTION("""COMPUTED_VALUE"""),2619.0)</f>
        <v>2619</v>
      </c>
      <c r="L48" s="64">
        <f>IFERROR(__xludf.DUMMYFUNCTION("""COMPUTED_VALUE"""),5825.0)</f>
        <v>5825</v>
      </c>
      <c r="M48" s="64">
        <f>IFERROR(__xludf.DUMMYFUNCTION("""COMPUTED_VALUE"""),9034.0)</f>
        <v>9034</v>
      </c>
      <c r="N48" s="65">
        <f t="shared" si="3"/>
        <v>17478</v>
      </c>
    </row>
    <row r="49" hidden="1">
      <c r="A49" s="55"/>
      <c r="J49" s="70" t="str">
        <f>IFERROR(__xludf.DUMMYFUNCTION("""COMPUTED_VALUE"""),"2016 Q1")</f>
        <v>2016 Q1</v>
      </c>
      <c r="K49" s="64">
        <f>IFERROR(__xludf.DUMMYFUNCTION("""COMPUTED_VALUE"""),2511.0)</f>
        <v>2511</v>
      </c>
      <c r="L49" s="64">
        <f>IFERROR(__xludf.DUMMYFUNCTION("""COMPUTED_VALUE"""),3849.0)</f>
        <v>3849</v>
      </c>
      <c r="M49" s="64">
        <f>IFERROR(__xludf.DUMMYFUNCTION("""COMPUTED_VALUE"""),8450.0)</f>
        <v>8450</v>
      </c>
      <c r="N49" s="65">
        <f t="shared" si="3"/>
        <v>14810</v>
      </c>
      <c r="O49" s="71"/>
    </row>
    <row r="50" hidden="1">
      <c r="A50" s="55"/>
      <c r="J50" s="70" t="str">
        <f>IFERROR(__xludf.DUMMYFUNCTION("""COMPUTED_VALUE"""),"2016 Q2")</f>
        <v>2016 Q2</v>
      </c>
      <c r="K50" s="64">
        <f>IFERROR(__xludf.DUMMYFUNCTION("""COMPUTED_VALUE"""),1346.0)</f>
        <v>1346</v>
      </c>
      <c r="L50" s="64">
        <f>IFERROR(__xludf.DUMMYFUNCTION("""COMPUTED_VALUE"""),2980.0)</f>
        <v>2980</v>
      </c>
      <c r="M50" s="64">
        <f>IFERROR(__xludf.DUMMYFUNCTION("""COMPUTED_VALUE"""),10076.0)</f>
        <v>10076</v>
      </c>
      <c r="N50" s="65">
        <f t="shared" si="3"/>
        <v>14402</v>
      </c>
    </row>
    <row r="51" hidden="1">
      <c r="A51" s="55"/>
      <c r="J51" s="70" t="str">
        <f>IFERROR(__xludf.DUMMYFUNCTION("""COMPUTED_VALUE"""),"2016 Q3")</f>
        <v>2016 Q3</v>
      </c>
      <c r="K51" s="64">
        <f>IFERROR(__xludf.DUMMYFUNCTION("""COMPUTED_VALUE"""),4589.0)</f>
        <v>4589</v>
      </c>
      <c r="L51" s="64">
        <f>IFERROR(__xludf.DUMMYFUNCTION("""COMPUTED_VALUE"""),5001.0)</f>
        <v>5001</v>
      </c>
      <c r="M51" s="64">
        <f>IFERROR(__xludf.DUMMYFUNCTION("""COMPUTED_VALUE"""),15231.0)</f>
        <v>15231</v>
      </c>
      <c r="N51" s="65">
        <f t="shared" si="3"/>
        <v>24821</v>
      </c>
    </row>
    <row r="52" hidden="1">
      <c r="A52" s="55"/>
      <c r="J52" s="70" t="str">
        <f>IFERROR(__xludf.DUMMYFUNCTION("""COMPUTED_VALUE"""),"2016 Q4")</f>
        <v>2016 Q4</v>
      </c>
      <c r="K52" s="64">
        <f>IFERROR(__xludf.DUMMYFUNCTION("""COMPUTED_VALUE"""),3591.0)</f>
        <v>3591</v>
      </c>
      <c r="L52" s="64">
        <f>IFERROR(__xludf.DUMMYFUNCTION("""COMPUTED_VALUE"""),4400.0)</f>
        <v>4400</v>
      </c>
      <c r="M52" s="64">
        <f>IFERROR(__xludf.DUMMYFUNCTION("""COMPUTED_VALUE"""),14261.0)</f>
        <v>14261</v>
      </c>
      <c r="N52" s="65">
        <f t="shared" si="3"/>
        <v>22252</v>
      </c>
    </row>
    <row r="53" hidden="1">
      <c r="A53" s="55"/>
      <c r="J53" s="70" t="str">
        <f>IFERROR(__xludf.DUMMYFUNCTION("""COMPUTED_VALUE"""),"2017 Q1")</f>
        <v>2017 Q1</v>
      </c>
      <c r="K53" s="64">
        <f>IFERROR(__xludf.DUMMYFUNCTION("""COMPUTED_VALUE"""),6693.0)</f>
        <v>6693</v>
      </c>
      <c r="L53" s="64">
        <f>IFERROR(__xludf.DUMMYFUNCTION("""COMPUTED_VALUE"""),6689.0)</f>
        <v>6689</v>
      </c>
      <c r="M53" s="64">
        <f>IFERROR(__xludf.DUMMYFUNCTION("""COMPUTED_VALUE"""),11669.0)</f>
        <v>11669</v>
      </c>
      <c r="N53" s="65">
        <f t="shared" si="3"/>
        <v>25051</v>
      </c>
    </row>
    <row r="54" hidden="1">
      <c r="A54" s="55"/>
      <c r="J54" s="70" t="str">
        <f>IFERROR(__xludf.DUMMYFUNCTION("""COMPUTED_VALUE"""),"2017 Q2")</f>
        <v>2017 Q2</v>
      </c>
      <c r="K54" s="64">
        <f>IFERROR(__xludf.DUMMYFUNCTION("""COMPUTED_VALUE"""),4832.0)</f>
        <v>4832</v>
      </c>
      <c r="L54" s="64">
        <f>IFERROR(__xludf.DUMMYFUNCTION("""COMPUTED_VALUE"""),5541.0)</f>
        <v>5541</v>
      </c>
      <c r="M54" s="64">
        <f>IFERROR(__xludf.DUMMYFUNCTION("""COMPUTED_VALUE"""),11653.0)</f>
        <v>11653</v>
      </c>
      <c r="N54" s="65">
        <f t="shared" si="3"/>
        <v>22026</v>
      </c>
    </row>
    <row r="55" hidden="1">
      <c r="A55" s="55"/>
      <c r="J55" s="70" t="str">
        <f>IFERROR(__xludf.DUMMYFUNCTION("""COMPUTED_VALUE"""),"2017 Q3")</f>
        <v>2017 Q3</v>
      </c>
      <c r="K55" s="64">
        <f>IFERROR(__xludf.DUMMYFUNCTION("""COMPUTED_VALUE"""),5885.0)</f>
        <v>5885</v>
      </c>
      <c r="L55" s="64">
        <f>IFERROR(__xludf.DUMMYFUNCTION("""COMPUTED_VALUE"""),7105.0)</f>
        <v>7105</v>
      </c>
      <c r="M55" s="64">
        <f>IFERROR(__xludf.DUMMYFUNCTION("""COMPUTED_VALUE"""),13147.0)</f>
        <v>13147</v>
      </c>
      <c r="N55" s="65">
        <f t="shared" si="3"/>
        <v>26137</v>
      </c>
    </row>
    <row r="56" hidden="1">
      <c r="A56" s="55"/>
      <c r="J56" s="70" t="str">
        <f>IFERROR(__xludf.DUMMYFUNCTION("""COMPUTED_VALUE"""),"2017 Q4")</f>
        <v>2017 Q4</v>
      </c>
      <c r="K56" s="64">
        <f>IFERROR(__xludf.DUMMYFUNCTION("""COMPUTED_VALUE"""),4742.0)</f>
        <v>4742</v>
      </c>
      <c r="L56" s="64">
        <f>IFERROR(__xludf.DUMMYFUNCTION("""COMPUTED_VALUE"""),8944.0)</f>
        <v>8944</v>
      </c>
      <c r="M56" s="64">
        <f>IFERROR(__xludf.DUMMYFUNCTION("""COMPUTED_VALUE"""),16281.0)</f>
        <v>16281</v>
      </c>
      <c r="N56" s="65">
        <f t="shared" si="3"/>
        <v>29967</v>
      </c>
    </row>
    <row r="57" hidden="1">
      <c r="A57" s="55"/>
      <c r="J57" s="70" t="str">
        <f>IFERROR(__xludf.DUMMYFUNCTION("""COMPUTED_VALUE"""),"2018 Q1")</f>
        <v>2018 Q1</v>
      </c>
      <c r="K57" s="64">
        <f>IFERROR(__xludf.DUMMYFUNCTION("""COMPUTED_VALUE"""),4979.0)</f>
        <v>4979</v>
      </c>
      <c r="L57" s="64">
        <f>IFERROR(__xludf.DUMMYFUNCTION("""COMPUTED_VALUE"""),6124.0)</f>
        <v>6124</v>
      </c>
      <c r="M57" s="64">
        <f>IFERROR(__xludf.DUMMYFUNCTION("""COMPUTED_VALUE"""),18894.0)</f>
        <v>18894</v>
      </c>
      <c r="N57" s="65">
        <f t="shared" si="3"/>
        <v>29997</v>
      </c>
      <c r="O57" s="71"/>
    </row>
    <row r="58" hidden="1">
      <c r="A58" s="55"/>
      <c r="J58" s="70" t="str">
        <f>IFERROR(__xludf.DUMMYFUNCTION("""COMPUTED_VALUE"""),"2018 Q2")</f>
        <v>2018 Q2</v>
      </c>
      <c r="K58" s="64">
        <f>IFERROR(__xludf.DUMMYFUNCTION("""COMPUTED_VALUE"""),6051.0)</f>
        <v>6051</v>
      </c>
      <c r="L58" s="64">
        <f>IFERROR(__xludf.DUMMYFUNCTION("""COMPUTED_VALUE"""),7197.0)</f>
        <v>7197</v>
      </c>
      <c r="M58" s="64">
        <f>IFERROR(__xludf.DUMMYFUNCTION("""COMPUTED_VALUE"""),27520.0)</f>
        <v>27520</v>
      </c>
      <c r="N58" s="65">
        <f t="shared" si="3"/>
        <v>40768</v>
      </c>
    </row>
    <row r="59" hidden="1">
      <c r="A59" s="55"/>
      <c r="J59" s="70" t="str">
        <f>IFERROR(__xludf.DUMMYFUNCTION("""COMPUTED_VALUE"""),"2018 Q3")</f>
        <v>2018 Q3</v>
      </c>
      <c r="K59" s="64">
        <f>IFERROR(__xludf.DUMMYFUNCTION("""COMPUTED_VALUE"""),3729.0)</f>
        <v>3729</v>
      </c>
      <c r="L59" s="64">
        <f>IFERROR(__xludf.DUMMYFUNCTION("""COMPUTED_VALUE"""),7777.0)</f>
        <v>7777</v>
      </c>
      <c r="M59" s="64">
        <f>IFERROR(__xludf.DUMMYFUNCTION("""COMPUTED_VALUE"""),72269.0)</f>
        <v>72269</v>
      </c>
      <c r="N59" s="65">
        <f t="shared" si="3"/>
        <v>83775</v>
      </c>
    </row>
    <row r="60" hidden="1">
      <c r="A60" s="55"/>
      <c r="J60" s="70" t="str">
        <f>IFERROR(__xludf.DUMMYFUNCTION("""COMPUTED_VALUE"""),"2018 Q4")</f>
        <v>2018 Q4</v>
      </c>
      <c r="K60" s="64">
        <f>IFERROR(__xludf.DUMMYFUNCTION("""COMPUTED_VALUE"""),3649.0)</f>
        <v>3649</v>
      </c>
      <c r="L60" s="64">
        <f>IFERROR(__xludf.DUMMYFUNCTION("""COMPUTED_VALUE"""),8159.0)</f>
        <v>8159</v>
      </c>
      <c r="M60" s="64">
        <f>IFERROR(__xludf.DUMMYFUNCTION("""COMPUTED_VALUE"""),79158.0)</f>
        <v>79158</v>
      </c>
      <c r="N60" s="65">
        <f t="shared" si="3"/>
        <v>90966</v>
      </c>
    </row>
    <row r="61" hidden="1">
      <c r="A61" s="55"/>
      <c r="J61" s="70" t="str">
        <f>IFERROR(__xludf.DUMMYFUNCTION("""COMPUTED_VALUE"""),"2019 Q1")</f>
        <v>2019 Q1</v>
      </c>
      <c r="K61" s="64">
        <f>IFERROR(__xludf.DUMMYFUNCTION("""COMPUTED_VALUE"""),7224.0)</f>
        <v>7224</v>
      </c>
      <c r="L61" s="64">
        <f>IFERROR(__xludf.DUMMYFUNCTION("""COMPUTED_VALUE"""),22762.0)</f>
        <v>22762</v>
      </c>
      <c r="M61" s="64">
        <f>IFERROR(__xludf.DUMMYFUNCTION("""COMPUTED_VALUE"""),33033.0)</f>
        <v>33033</v>
      </c>
      <c r="N61" s="65">
        <f t="shared" si="3"/>
        <v>63019</v>
      </c>
    </row>
    <row r="62" hidden="1">
      <c r="A62" s="55"/>
      <c r="J62" s="70" t="str">
        <f>IFERROR(__xludf.DUMMYFUNCTION("""COMPUTED_VALUE"""),"2019 Q2")</f>
        <v>2019 Q2</v>
      </c>
      <c r="K62" s="64">
        <f>IFERROR(__xludf.DUMMYFUNCTION("""COMPUTED_VALUE"""),12590.0)</f>
        <v>12590</v>
      </c>
      <c r="L62" s="64">
        <f>IFERROR(__xludf.DUMMYFUNCTION("""COMPUTED_VALUE"""),22805.0)</f>
        <v>22805</v>
      </c>
      <c r="M62" s="64">
        <f>IFERROR(__xludf.DUMMYFUNCTION("""COMPUTED_VALUE"""),59961.0)</f>
        <v>59961</v>
      </c>
      <c r="N62" s="65">
        <f t="shared" si="3"/>
        <v>95356</v>
      </c>
    </row>
    <row r="63" hidden="1">
      <c r="A63" s="55"/>
      <c r="J63" s="70" t="str">
        <f>IFERROR(__xludf.DUMMYFUNCTION("""COMPUTED_VALUE"""),"2019 Q3")</f>
        <v>2019 Q3</v>
      </c>
      <c r="K63" s="64">
        <f>IFERROR(__xludf.DUMMYFUNCTION("""COMPUTED_VALUE"""),14608.0)</f>
        <v>14608</v>
      </c>
      <c r="L63" s="64">
        <f>IFERROR(__xludf.DUMMYFUNCTION("""COMPUTED_VALUE"""),30081.0)</f>
        <v>30081</v>
      </c>
      <c r="M63" s="64">
        <f>IFERROR(__xludf.DUMMYFUNCTION("""COMPUTED_VALUE"""),52497.0)</f>
        <v>52497</v>
      </c>
      <c r="N63" s="65">
        <f t="shared" si="3"/>
        <v>97186</v>
      </c>
    </row>
    <row r="64" hidden="1">
      <c r="A64" s="55"/>
      <c r="J64" s="70" t="str">
        <f>IFERROR(__xludf.DUMMYFUNCTION("""COMPUTED_VALUE"""),"2019 Q4")</f>
        <v>2019 Q4</v>
      </c>
      <c r="K64" s="64">
        <f>IFERROR(__xludf.DUMMYFUNCTION("""COMPUTED_VALUE"""),18836.0)</f>
        <v>18836</v>
      </c>
      <c r="L64" s="64">
        <f>IFERROR(__xludf.DUMMYFUNCTION("""COMPUTED_VALUE"""),35471.0)</f>
        <v>35471</v>
      </c>
      <c r="M64" s="64">
        <f>IFERROR(__xludf.DUMMYFUNCTION("""COMPUTED_VALUE"""),57788.0)</f>
        <v>57788</v>
      </c>
      <c r="N64" s="65">
        <f t="shared" si="3"/>
        <v>112095</v>
      </c>
    </row>
    <row r="65" hidden="1">
      <c r="A65" s="55"/>
      <c r="J65" s="70" t="str">
        <f>IFERROR(__xludf.DUMMYFUNCTION("""COMPUTED_VALUE"""),"2020 Q1")</f>
        <v>2020 Q1</v>
      </c>
      <c r="K65" s="64">
        <f>IFERROR(__xludf.DUMMYFUNCTION("""COMPUTED_VALUE"""),27266.0)</f>
        <v>27266</v>
      </c>
      <c r="L65" s="64">
        <f>IFERROR(__xludf.DUMMYFUNCTION("""COMPUTED_VALUE"""),23782.0)</f>
        <v>23782</v>
      </c>
      <c r="M65" s="64">
        <f>IFERROR(__xludf.DUMMYFUNCTION("""COMPUTED_VALUE"""),37448.0)</f>
        <v>37448</v>
      </c>
      <c r="N65" s="65">
        <f t="shared" si="3"/>
        <v>88496</v>
      </c>
    </row>
    <row r="66" hidden="1">
      <c r="A66" s="55"/>
      <c r="J66" s="70" t="str">
        <f>IFERROR(__xludf.DUMMYFUNCTION("""COMPUTED_VALUE"""),"2020 Q2")</f>
        <v>2020 Q2</v>
      </c>
      <c r="K66" s="64">
        <f>IFERROR(__xludf.DUMMYFUNCTION("""COMPUTED_VALUE"""),35464.0)</f>
        <v>35464</v>
      </c>
      <c r="L66" s="64">
        <f>IFERROR(__xludf.DUMMYFUNCTION("""COMPUTED_VALUE"""),13988.0)</f>
        <v>13988</v>
      </c>
      <c r="M66" s="64">
        <f>IFERROR(__xludf.DUMMYFUNCTION("""COMPUTED_VALUE"""),41439.0)</f>
        <v>41439</v>
      </c>
      <c r="N66" s="65">
        <f t="shared" si="3"/>
        <v>90891</v>
      </c>
    </row>
    <row r="67" hidden="1">
      <c r="A67" s="55"/>
      <c r="J67" s="70" t="str">
        <f>IFERROR(__xludf.DUMMYFUNCTION("""COMPUTED_VALUE"""),"2020 Q3")</f>
        <v>2020 Q3</v>
      </c>
      <c r="K67" s="64">
        <f>IFERROR(__xludf.DUMMYFUNCTION("""COMPUTED_VALUE"""),45118.0)</f>
        <v>45118</v>
      </c>
      <c r="L67" s="64">
        <f>IFERROR(__xludf.DUMMYFUNCTION("""COMPUTED_VALUE"""),27306.0)</f>
        <v>27306</v>
      </c>
      <c r="M67" s="64">
        <f>IFERROR(__xludf.DUMMYFUNCTION("""COMPUTED_VALUE"""),67169.0)</f>
        <v>67169</v>
      </c>
      <c r="N67" s="65">
        <f t="shared" si="3"/>
        <v>139593</v>
      </c>
    </row>
    <row r="68">
      <c r="A68" s="55"/>
      <c r="J68" s="72" t="str">
        <f>IFERROR(__xludf.DUMMYFUNCTION("""COMPUTED_VALUE"""),"2020 Q4")</f>
        <v>2020 Q4</v>
      </c>
      <c r="K68" s="73">
        <f>IFERROR(__xludf.DUMMYFUNCTION("""COMPUTED_VALUE"""),65811.0)</f>
        <v>65811</v>
      </c>
      <c r="L68" s="73">
        <f>IFERROR(__xludf.DUMMYFUNCTION("""COMPUTED_VALUE"""),34110.0)</f>
        <v>34110</v>
      </c>
      <c r="M68" s="73">
        <f>IFERROR(__xludf.DUMMYFUNCTION("""COMPUTED_VALUE"""),80746.0)</f>
        <v>80746</v>
      </c>
      <c r="N68" s="74">
        <f t="shared" si="3"/>
        <v>180667</v>
      </c>
    </row>
    <row r="69">
      <c r="A69" s="55"/>
      <c r="J69" s="75" t="str">
        <f>IFERROR(__xludf.DUMMYFUNCTION("""COMPUTED_VALUE"""),"2021 Q1")</f>
        <v>2021 Q1</v>
      </c>
      <c r="K69" s="76">
        <f>IFERROR(__xludf.DUMMYFUNCTION("""COMPUTED_VALUE"""),78934.0)</f>
        <v>78934</v>
      </c>
      <c r="L69" s="76">
        <f>IFERROR(__xludf.DUMMYFUNCTION("""COMPUTED_VALUE"""),31530.0)</f>
        <v>31530</v>
      </c>
      <c r="M69" s="76">
        <f>IFERROR(__xludf.DUMMYFUNCTION("""COMPUTED_VALUE"""),74413.0)</f>
        <v>74413</v>
      </c>
      <c r="N69" s="77">
        <f t="shared" si="3"/>
        <v>184877</v>
      </c>
    </row>
    <row r="70">
      <c r="A70" s="55"/>
      <c r="J70" s="70" t="str">
        <f>IFERROR(__xludf.DUMMYFUNCTION("""COMPUTED_VALUE"""),"2021 Q2")</f>
        <v>2021 Q2</v>
      </c>
      <c r="K70" s="64">
        <f>IFERROR(__xludf.DUMMYFUNCTION("""COMPUTED_VALUE"""),81093.0)</f>
        <v>81093</v>
      </c>
      <c r="L70" s="64">
        <f>IFERROR(__xludf.DUMMYFUNCTION("""COMPUTED_VALUE"""),36480.0)</f>
        <v>36480</v>
      </c>
      <c r="M70" s="64">
        <f>IFERROR(__xludf.DUMMYFUNCTION("""COMPUTED_VALUE"""),83731.0)</f>
        <v>83731</v>
      </c>
      <c r="N70" s="78">
        <f t="shared" si="3"/>
        <v>201304</v>
      </c>
    </row>
    <row r="71">
      <c r="A71" s="55"/>
      <c r="J71" s="70" t="str">
        <f>IFERROR(__xludf.DUMMYFUNCTION("""COMPUTED_VALUE"""),"2021 Q3")</f>
        <v>2021 Q3</v>
      </c>
      <c r="K71" s="64">
        <f>IFERROR(__xludf.DUMMYFUNCTION("""COMPUTED_VALUE"""),90615.0)</f>
        <v>90615</v>
      </c>
      <c r="L71" s="64">
        <f>IFERROR(__xludf.DUMMYFUNCTION("""COMPUTED_VALUE"""),46344.0)</f>
        <v>46344</v>
      </c>
      <c r="M71" s="64">
        <f>IFERROR(__xludf.DUMMYFUNCTION("""COMPUTED_VALUE"""),104432.0)</f>
        <v>104432</v>
      </c>
      <c r="N71" s="78">
        <f t="shared" si="3"/>
        <v>241391</v>
      </c>
    </row>
    <row r="72">
      <c r="A72" s="55"/>
      <c r="J72" s="72" t="str">
        <f>IFERROR(__xludf.DUMMYFUNCTION("""COMPUTED_VALUE"""),"2021 Q4")</f>
        <v>2021 Q4</v>
      </c>
      <c r="K72" s="73">
        <f>IFERROR(__xludf.DUMMYFUNCTION("""COMPUTED_VALUE"""),129855.0)</f>
        <v>129855</v>
      </c>
      <c r="L72" s="73">
        <f>IFERROR(__xludf.DUMMYFUNCTION("""COMPUTED_VALUE"""),54997.0)</f>
        <v>54997</v>
      </c>
      <c r="M72" s="73">
        <f>IFERROR(__xludf.DUMMYFUNCTION("""COMPUTED_VALUE"""),123798.0)</f>
        <v>123798</v>
      </c>
      <c r="N72" s="74">
        <f t="shared" si="3"/>
        <v>308650</v>
      </c>
    </row>
    <row r="73">
      <c r="A73" s="55"/>
      <c r="J73" s="75" t="str">
        <f>IFERROR(__xludf.DUMMYFUNCTION("""COMPUTED_VALUE"""),"2022 Q1")</f>
        <v>2022 Q1</v>
      </c>
      <c r="K73" s="76">
        <f>IFERROR(__xludf.DUMMYFUNCTION("""COMPUTED_VALUE"""),126555.0)</f>
        <v>126555</v>
      </c>
      <c r="L73" s="76">
        <f>IFERROR(__xludf.DUMMYFUNCTION("""COMPUTED_VALUE"""),59603.0)</f>
        <v>59603</v>
      </c>
      <c r="M73" s="76">
        <f>IFERROR(__xludf.DUMMYFUNCTION("""COMPUTED_VALUE"""),123890.0)</f>
        <v>123890</v>
      </c>
      <c r="N73" s="77">
        <f t="shared" si="3"/>
        <v>310048</v>
      </c>
    </row>
    <row r="74">
      <c r="A74" s="55"/>
      <c r="J74" s="70" t="str">
        <f>IFERROR(__xludf.DUMMYFUNCTION("""COMPUTED_VALUE"""),"2022 Q2")</f>
        <v>2022 Q2</v>
      </c>
      <c r="K74" s="64">
        <f>IFERROR(__xludf.DUMMYFUNCTION("""COMPUTED_VALUE"""),100176.0)</f>
        <v>100176</v>
      </c>
      <c r="L74" s="64">
        <f>IFERROR(__xludf.DUMMYFUNCTION("""COMPUTED_VALUE"""),26220.0)</f>
        <v>26220</v>
      </c>
      <c r="M74" s="64">
        <f>IFERROR(__xludf.DUMMYFUNCTION("""COMPUTED_VALUE"""),128299.0)</f>
        <v>128299</v>
      </c>
      <c r="N74" s="78">
        <f t="shared" si="3"/>
        <v>254695</v>
      </c>
    </row>
    <row r="75">
      <c r="A75" s="55"/>
      <c r="J75" s="70" t="str">
        <f>IFERROR(__xludf.DUMMYFUNCTION("""COMPUTED_VALUE"""),"2022 Q3")</f>
        <v>2022 Q3</v>
      </c>
      <c r="K75" s="64">
        <f>IFERROR(__xludf.DUMMYFUNCTION("""COMPUTED_VALUE"""),149050.0)</f>
        <v>149050</v>
      </c>
      <c r="L75" s="64">
        <f>IFERROR(__xludf.DUMMYFUNCTION("""COMPUTED_VALUE"""),54304.0)</f>
        <v>54304</v>
      </c>
      <c r="M75" s="64">
        <f>IFERROR(__xludf.DUMMYFUNCTION("""COMPUTED_VALUE"""),140476.0)</f>
        <v>140476</v>
      </c>
      <c r="N75" s="78">
        <f t="shared" si="3"/>
        <v>343830</v>
      </c>
    </row>
    <row r="76">
      <c r="A76" s="55"/>
      <c r="J76" s="79" t="str">
        <f>IFERROR(__xludf.DUMMYFUNCTION("""COMPUTED_VALUE"""),"2022 Q4")</f>
        <v>2022 Q4</v>
      </c>
      <c r="K76" s="80">
        <f>IFERROR(__xludf.DUMMYFUNCTION("""COMPUTED_VALUE"""),148664.0)</f>
        <v>148664</v>
      </c>
      <c r="L76" s="80">
        <f>IFERROR(__xludf.DUMMYFUNCTION("""COMPUTED_VALUE"""),93837.0)</f>
        <v>93837</v>
      </c>
      <c r="M76" s="80">
        <f>IFERROR(__xludf.DUMMYFUNCTION("""COMPUTED_VALUE"""),162777.0)</f>
        <v>162777</v>
      </c>
      <c r="N76" s="81">
        <f t="shared" si="3"/>
        <v>405278</v>
      </c>
    </row>
    <row r="77">
      <c r="A77" s="55"/>
      <c r="J77" s="82" t="str">
        <f>IFERROR(__xludf.DUMMYFUNCTION("""COMPUTED_VALUE"""),"2023 Q1")</f>
        <v>2023 Q1</v>
      </c>
      <c r="K77" s="83">
        <f>IFERROR(__xludf.DUMMYFUNCTION("""COMPUTED_VALUE"""),163813.0)</f>
        <v>163813</v>
      </c>
      <c r="L77" s="83">
        <f>IFERROR(__xludf.DUMMYFUNCTION("""COMPUTED_VALUE"""),94242.0)</f>
        <v>94242</v>
      </c>
      <c r="M77" s="83">
        <f>IFERROR(__xludf.DUMMYFUNCTION("""COMPUTED_VALUE"""),164820.0)</f>
        <v>164820</v>
      </c>
      <c r="N77" s="84">
        <f t="shared" si="3"/>
        <v>422875</v>
      </c>
    </row>
    <row r="78">
      <c r="A78" s="55"/>
      <c r="J78" s="70" t="str">
        <f>IFERROR(__xludf.DUMMYFUNCTION("""COMPUTED_VALUE"""),"2023 Q2")</f>
        <v>2023 Q2</v>
      </c>
      <c r="K78" s="64">
        <f>IFERROR(__xludf.DUMMYFUNCTION("""COMPUTED_VALUE"""),193676.0)</f>
        <v>193676</v>
      </c>
      <c r="L78" s="64">
        <f>IFERROR(__xludf.DUMMYFUNCTION("""COMPUTED_VALUE"""),92196.0)</f>
        <v>92196</v>
      </c>
      <c r="M78" s="64">
        <f>IFERROR(__xludf.DUMMYFUNCTION("""COMPUTED_VALUE"""),180268.0)</f>
        <v>180268</v>
      </c>
      <c r="N78" s="78">
        <f t="shared" si="3"/>
        <v>466140</v>
      </c>
    </row>
    <row r="79">
      <c r="A79" s="55"/>
      <c r="J79" s="70" t="str">
        <f>IFERROR(__xludf.DUMMYFUNCTION("""COMPUTED_VALUE"""),"2023 Q3")</f>
        <v>2023 Q3</v>
      </c>
      <c r="K79" s="64">
        <f>IFERROR(__xludf.DUMMYFUNCTION("""COMPUTED_VALUE"""),181071.0)</f>
        <v>181071</v>
      </c>
      <c r="L79" s="64">
        <f>IFERROR(__xludf.DUMMYFUNCTION("""COMPUTED_VALUE"""),85581.0)</f>
        <v>85581</v>
      </c>
      <c r="M79" s="64">
        <f>IFERROR(__xludf.DUMMYFUNCTION("""COMPUTED_VALUE"""),168407.0)</f>
        <v>168407</v>
      </c>
      <c r="N79" s="78">
        <f t="shared" si="3"/>
        <v>435059</v>
      </c>
    </row>
    <row r="80">
      <c r="A80" s="55"/>
      <c r="J80" s="72" t="str">
        <f>IFERROR(__xludf.DUMMYFUNCTION("""COMPUTED_VALUE"""),"2023 Q4")</f>
        <v>2023 Q4</v>
      </c>
      <c r="K80" s="73">
        <f>IFERROR(__xludf.DUMMYFUNCTION("""COMPUTED_VALUE"""),204989.0)</f>
        <v>204989</v>
      </c>
      <c r="L80" s="73">
        <f>IFERROR(__xludf.DUMMYFUNCTION("""COMPUTED_VALUE"""),93152.0)</f>
        <v>93152</v>
      </c>
      <c r="M80" s="73">
        <f>IFERROR(__xludf.DUMMYFUNCTION("""COMPUTED_VALUE"""),186366.0)</f>
        <v>186366</v>
      </c>
      <c r="N80" s="74">
        <f t="shared" si="3"/>
        <v>484507</v>
      </c>
    </row>
    <row r="81">
      <c r="A81" s="55"/>
      <c r="J81" s="75" t="str">
        <f>IFERROR(__xludf.DUMMYFUNCTION("""COMPUTED_VALUE"""),"2024 Q1")</f>
        <v>2024 Q1</v>
      </c>
      <c r="K81" s="76">
        <f>IFERROR(__xludf.DUMMYFUNCTION("""COMPUTED_VALUE"""),166550.0)</f>
        <v>166550</v>
      </c>
      <c r="L81" s="76">
        <f>IFERROR(__xludf.DUMMYFUNCTION("""COMPUTED_VALUE"""),85820.0)</f>
        <v>85820</v>
      </c>
      <c r="M81" s="76">
        <f>IFERROR(__xludf.DUMMYFUNCTION("""COMPUTED_VALUE"""),134440.0)</f>
        <v>134440</v>
      </c>
      <c r="N81" s="77">
        <f t="shared" si="3"/>
        <v>386810</v>
      </c>
    </row>
    <row r="82">
      <c r="A82" s="55"/>
      <c r="J82" s="70" t="str">
        <f>IFERROR(__xludf.DUMMYFUNCTION("""COMPUTED_VALUE"""),"2024 Q2")</f>
        <v>2024 Q2</v>
      </c>
      <c r="K82" s="64">
        <f>IFERROR(__xludf.DUMMYFUNCTION("""COMPUTED_VALUE"""),186252.0)</f>
        <v>186252</v>
      </c>
      <c r="L82" s="64">
        <f>IFERROR(__xludf.DUMMYFUNCTION("""COMPUTED_VALUE"""),78417.0)</f>
        <v>78417</v>
      </c>
      <c r="M82" s="64">
        <f>IFERROR(__xludf.DUMMYFUNCTION("""COMPUTED_VALUE"""),179287.0)</f>
        <v>179287</v>
      </c>
      <c r="N82" s="78">
        <f t="shared" si="3"/>
        <v>443956</v>
      </c>
    </row>
    <row r="83">
      <c r="A83" s="55"/>
      <c r="J83" s="70" t="str">
        <f>IFERROR(__xludf.DUMMYFUNCTION("""COMPUTED_VALUE"""),"2024 Q3")</f>
        <v>2024 Q3</v>
      </c>
      <c r="K83" s="64">
        <f>IFERROR(__xludf.DUMMYFUNCTION("""COMPUTED_VALUE"""),214634.0)</f>
        <v>214634</v>
      </c>
      <c r="L83" s="64">
        <f>IFERROR(__xludf.DUMMYFUNCTION("""COMPUTED_VALUE"""),78279.0)</f>
        <v>78279</v>
      </c>
      <c r="M83" s="64">
        <f>IFERROR(__xludf.DUMMYFUNCTION("""COMPUTED_VALUE"""),169977.0)</f>
        <v>169977</v>
      </c>
      <c r="N83" s="78">
        <f t="shared" si="3"/>
        <v>462890</v>
      </c>
    </row>
    <row r="84">
      <c r="A84" s="55"/>
      <c r="J84" s="79" t="str">
        <f>IFERROR(__xludf.DUMMYFUNCTION("""COMPUTED_VALUE"""),"2024 Q4")</f>
        <v>2024 Q4</v>
      </c>
      <c r="K84" s="80">
        <f>IFERROR(__xludf.DUMMYFUNCTION("""COMPUTED_VALUE"""),230231.0)</f>
        <v>230231</v>
      </c>
      <c r="L84" s="80">
        <f>IFERROR(__xludf.DUMMYFUNCTION("""COMPUTED_VALUE"""),83473.0)</f>
        <v>83473</v>
      </c>
      <c r="M84" s="80">
        <f>IFERROR(__xludf.DUMMYFUNCTION("""COMPUTED_VALUE"""),181866.0)</f>
        <v>181866</v>
      </c>
      <c r="N84" s="81">
        <f t="shared" si="3"/>
        <v>495570</v>
      </c>
    </row>
    <row r="85">
      <c r="A85" s="55"/>
      <c r="J85" s="82" t="str">
        <f>IFERROR(__xludf.DUMMYFUNCTION("""COMPUTED_VALUE"""),"2025 Q1")</f>
        <v>2025 Q1</v>
      </c>
      <c r="K85" s="83">
        <f>IFERROR(__xludf.DUMMYFUNCTION("""COMPUTED_VALUE"""),158339.0)</f>
        <v>158339</v>
      </c>
      <c r="L85" s="83">
        <f>IFERROR(__xludf.DUMMYFUNCTION("""COMPUTED_VALUE"""),53952.0)</f>
        <v>53952</v>
      </c>
      <c r="M85" s="83">
        <f>IFERROR(__xludf.DUMMYFUNCTION("""COMPUTED_VALUE"""),124390.0)</f>
        <v>124390</v>
      </c>
      <c r="N85" s="84">
        <f t="shared" si="3"/>
        <v>336681</v>
      </c>
    </row>
    <row r="86">
      <c r="A86" s="55"/>
      <c r="J86" s="82" t="str">
        <f>IFERROR(__xludf.DUMMYFUNCTION("""COMPUTED_VALUE"""),"2025 Q2")</f>
        <v>2025 Q2</v>
      </c>
      <c r="K86" s="83">
        <f>IFERROR(__xludf.DUMMYFUNCTION("""COMPUTED_VALUE"""),176121.0)</f>
        <v>176121</v>
      </c>
      <c r="L86" s="83">
        <f>IFERROR(__xludf.DUMMYFUNCTION("""COMPUTED_VALUE"""),55891.0)</f>
        <v>55891</v>
      </c>
      <c r="M86" s="83">
        <f>IFERROR(__xludf.DUMMYFUNCTION("""COMPUTED_VALUE"""),152110.0)</f>
        <v>152110</v>
      </c>
      <c r="N86" s="78">
        <f t="shared" si="3"/>
        <v>384122</v>
      </c>
    </row>
    <row r="87">
      <c r="A87" s="55"/>
      <c r="J87" s="70" t="str">
        <f>IFERROR(__xludf.DUMMYFUNCTION("""COMPUTED_VALUE"""),"2025 Q3")</f>
        <v>2025 Q3</v>
      </c>
      <c r="K87" s="64">
        <f>IFERROR(__xludf.DUMMYFUNCTION("""COMPUTED_VALUE"""),236410.0)</f>
        <v>236410</v>
      </c>
      <c r="L87" s="64">
        <f>IFERROR(__xludf.DUMMYFUNCTION("""COMPUTED_VALUE"""),63535.0)</f>
        <v>63535</v>
      </c>
      <c r="M87" s="64">
        <f>IFERROR(__xludf.DUMMYFUNCTION("""COMPUTED_VALUE"""),197154.0)</f>
        <v>197154</v>
      </c>
      <c r="N87" s="78">
        <f t="shared" si="3"/>
        <v>497099</v>
      </c>
    </row>
    <row r="88">
      <c r="A88" s="55"/>
      <c r="J88" s="70" t="str">
        <f>IFERROR(__xludf.DUMMYFUNCTION("""COMPUTED_VALUE"""),"2025 Q4")</f>
        <v>2025 Q4</v>
      </c>
      <c r="K88" s="64">
        <f>IFERROR(__xludf.DUMMYFUNCTION("""COMPUTED_VALUE"""),240920.0)</f>
        <v>240920</v>
      </c>
      <c r="L88" s="64">
        <f>IFERROR(__xludf.DUMMYFUNCTION("""COMPUTED_VALUE"""),64904.0)</f>
        <v>64904</v>
      </c>
      <c r="M88" s="64">
        <f>IFERROR(__xludf.DUMMYFUNCTION("""COMPUTED_VALUE"""),112403.0)</f>
        <v>112403</v>
      </c>
      <c r="N88" s="78">
        <f t="shared" si="3"/>
        <v>418227</v>
      </c>
    </row>
    <row r="89">
      <c r="A89" s="55"/>
      <c r="J89" s="85" t="s">
        <v>1</v>
      </c>
      <c r="K89" s="69">
        <f t="shared" ref="K89:N89" si="4">sum(K35:K88)</f>
        <v>3549278</v>
      </c>
      <c r="L89" s="69">
        <f t="shared" si="4"/>
        <v>1646943</v>
      </c>
      <c r="M89" s="69">
        <f t="shared" si="4"/>
        <v>3687503</v>
      </c>
      <c r="N89" s="69">
        <f t="shared" si="4"/>
        <v>8883724</v>
      </c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6"/>
      <c r="R90" s="56"/>
      <c r="S90" s="56"/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6"/>
      <c r="R91" s="56"/>
      <c r="S91" s="56"/>
    </row>
    <row r="9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6"/>
      <c r="R92" s="56"/>
      <c r="S92" s="56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7" t="s">
        <v>91</v>
      </c>
      <c r="K93" s="58"/>
      <c r="L93" s="58"/>
      <c r="M93" s="58"/>
      <c r="N93" s="59"/>
      <c r="O93" s="56"/>
      <c r="P93" s="56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60" t="str">
        <f>IFERROR(__xludf.DUMMYFUNCTION("query({Delivery_Data!$A:$I},""select Col3,sum(Col8) where Col3&lt;&gt;'' and Col4='Model 3' and (Col6='China' or Col6='USA' or Col6='Europe') and Col8 is not null group by Col3 pivot Col6"",1)"),"Quarter")</f>
        <v>Quarter</v>
      </c>
      <c r="K94" s="61" t="str">
        <f>IFERROR(__xludf.DUMMYFUNCTION("""COMPUTED_VALUE"""),"China")</f>
        <v>China</v>
      </c>
      <c r="L94" s="61" t="str">
        <f>IFERROR(__xludf.DUMMYFUNCTION("""COMPUTED_VALUE"""),"Europe")</f>
        <v>Europe</v>
      </c>
      <c r="M94" s="61" t="str">
        <f>IFERROR(__xludf.DUMMYFUNCTION("""COMPUTED_VALUE"""),"USA")</f>
        <v>USA</v>
      </c>
      <c r="N94" s="62" t="s">
        <v>1</v>
      </c>
      <c r="O94" s="56"/>
      <c r="P94" s="56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70" t="str">
        <f>IFERROR(__xludf.DUMMYFUNCTION("""COMPUTED_VALUE"""),"2017 Q3")</f>
        <v>2017 Q3</v>
      </c>
      <c r="K95" s="64"/>
      <c r="L95" s="64"/>
      <c r="M95" s="64">
        <f>IFERROR(__xludf.DUMMYFUNCTION("""COMPUTED_VALUE"""),222.0)</f>
        <v>222</v>
      </c>
      <c r="N95" s="65">
        <f t="shared" ref="N95:N128" si="5">sum(K95:M95)</f>
        <v>222</v>
      </c>
      <c r="O95" s="56"/>
      <c r="P95" s="56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72" t="str">
        <f>IFERROR(__xludf.DUMMYFUNCTION("""COMPUTED_VALUE"""),"2017 Q4")</f>
        <v>2017 Q4</v>
      </c>
      <c r="K96" s="73"/>
      <c r="L96" s="73"/>
      <c r="M96" s="73">
        <f>IFERROR(__xludf.DUMMYFUNCTION("""COMPUTED_VALUE"""),1542.0)</f>
        <v>1542</v>
      </c>
      <c r="N96" s="86">
        <f t="shared" si="5"/>
        <v>1542</v>
      </c>
      <c r="O96" s="56"/>
      <c r="P96" s="56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75" t="str">
        <f>IFERROR(__xludf.DUMMYFUNCTION("""COMPUTED_VALUE"""),"2018 Q1")</f>
        <v>2018 Q1</v>
      </c>
      <c r="K97" s="76"/>
      <c r="L97" s="76"/>
      <c r="M97" s="76">
        <f>IFERROR(__xludf.DUMMYFUNCTION("""COMPUTED_VALUE"""),8182.0)</f>
        <v>8182</v>
      </c>
      <c r="N97" s="87">
        <f t="shared" si="5"/>
        <v>8182</v>
      </c>
      <c r="O97" s="56"/>
      <c r="P97" s="56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70" t="str">
        <f>IFERROR(__xludf.DUMMYFUNCTION("""COMPUTED_VALUE"""),"2018 Q2")</f>
        <v>2018 Q2</v>
      </c>
      <c r="K98" s="64"/>
      <c r="L98" s="64"/>
      <c r="M98" s="64">
        <f>IFERROR(__xludf.DUMMYFUNCTION("""COMPUTED_VALUE"""),17118.0)</f>
        <v>17118</v>
      </c>
      <c r="N98" s="65">
        <f t="shared" si="5"/>
        <v>17118</v>
      </c>
      <c r="O98" s="56"/>
      <c r="P98" s="56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70" t="str">
        <f>IFERROR(__xludf.DUMMYFUNCTION("""COMPUTED_VALUE"""),"2018 Q3")</f>
        <v>2018 Q3</v>
      </c>
      <c r="K99" s="64"/>
      <c r="L99" s="64"/>
      <c r="M99" s="64">
        <f>IFERROR(__xludf.DUMMYFUNCTION("""COMPUTED_VALUE"""),54353.0)</f>
        <v>54353</v>
      </c>
      <c r="N99" s="65">
        <f t="shared" si="5"/>
        <v>54353</v>
      </c>
      <c r="O99" s="56"/>
      <c r="P99" s="56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79" t="str">
        <f>IFERROR(__xludf.DUMMYFUNCTION("""COMPUTED_VALUE"""),"2018 Q4")</f>
        <v>2018 Q4</v>
      </c>
      <c r="K100" s="80"/>
      <c r="L100" s="80"/>
      <c r="M100" s="80">
        <f>IFERROR(__xludf.DUMMYFUNCTION("""COMPUTED_VALUE"""),61606.0)</f>
        <v>61606</v>
      </c>
      <c r="N100" s="88">
        <f t="shared" si="5"/>
        <v>61606</v>
      </c>
      <c r="O100" s="56"/>
      <c r="P100" s="56"/>
    </row>
    <row r="101">
      <c r="A101" s="55"/>
      <c r="B101" s="55"/>
      <c r="C101" s="55"/>
      <c r="D101" s="55"/>
      <c r="E101" s="55"/>
      <c r="F101" s="55"/>
      <c r="G101" s="55"/>
      <c r="H101" s="55"/>
      <c r="I101" s="55"/>
      <c r="J101" s="82" t="str">
        <f>IFERROR(__xludf.DUMMYFUNCTION("""COMPUTED_VALUE"""),"2019 Q1")</f>
        <v>2019 Q1</v>
      </c>
      <c r="K101" s="83">
        <f>IFERROR(__xludf.DUMMYFUNCTION("""COMPUTED_VALUE"""),3738.0)</f>
        <v>3738</v>
      </c>
      <c r="L101" s="83">
        <f>IFERROR(__xludf.DUMMYFUNCTION("""COMPUTED_VALUE"""),19643.0)</f>
        <v>19643</v>
      </c>
      <c r="M101" s="83">
        <f>IFERROR(__xludf.DUMMYFUNCTION("""COMPUTED_VALUE"""),26681.0)</f>
        <v>26681</v>
      </c>
      <c r="N101" s="89">
        <f t="shared" si="5"/>
        <v>50062</v>
      </c>
      <c r="O101" s="56"/>
      <c r="P101" s="56"/>
    </row>
    <row r="102">
      <c r="A102" s="55"/>
      <c r="B102" s="55"/>
      <c r="C102" s="55"/>
      <c r="D102" s="55"/>
      <c r="E102" s="55"/>
      <c r="F102" s="55"/>
      <c r="G102" s="55"/>
      <c r="H102" s="55"/>
      <c r="I102" s="55"/>
      <c r="J102" s="70" t="str">
        <f>IFERROR(__xludf.DUMMYFUNCTION("""COMPUTED_VALUE"""),"2019 Q2")</f>
        <v>2019 Q2</v>
      </c>
      <c r="K102" s="64">
        <f>IFERROR(__xludf.DUMMYFUNCTION("""COMPUTED_VALUE"""),8139.0)</f>
        <v>8139</v>
      </c>
      <c r="L102" s="64">
        <f>IFERROR(__xludf.DUMMYFUNCTION("""COMPUTED_VALUE"""),18220.0)</f>
        <v>18220</v>
      </c>
      <c r="M102" s="64">
        <f>IFERROR(__xludf.DUMMYFUNCTION("""COMPUTED_VALUE"""),45727.0)</f>
        <v>45727</v>
      </c>
      <c r="N102" s="65">
        <f t="shared" si="5"/>
        <v>72086</v>
      </c>
      <c r="O102" s="56"/>
      <c r="P102" s="56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70" t="str">
        <f>IFERROR(__xludf.DUMMYFUNCTION("""COMPUTED_VALUE"""),"2019 Q3")</f>
        <v>2019 Q3</v>
      </c>
      <c r="K103" s="64">
        <f>IFERROR(__xludf.DUMMYFUNCTION("""COMPUTED_VALUE"""),7576.0)</f>
        <v>7576</v>
      </c>
      <c r="L103" s="64">
        <f>IFERROR(__xludf.DUMMYFUNCTION("""COMPUTED_VALUE"""),26080.0)</f>
        <v>26080</v>
      </c>
      <c r="M103" s="64">
        <f>IFERROR(__xludf.DUMMYFUNCTION("""COMPUTED_VALUE"""),38036.0)</f>
        <v>38036</v>
      </c>
      <c r="N103" s="65">
        <f t="shared" si="5"/>
        <v>71692</v>
      </c>
      <c r="O103" s="56"/>
      <c r="P103" s="56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72" t="str">
        <f>IFERROR(__xludf.DUMMYFUNCTION("""COMPUTED_VALUE"""),"2019 Q4")</f>
        <v>2019 Q4</v>
      </c>
      <c r="K104" s="73">
        <f>IFERROR(__xludf.DUMMYFUNCTION("""COMPUTED_VALUE"""),9821.0)</f>
        <v>9821</v>
      </c>
      <c r="L104" s="73">
        <f>IFERROR(__xludf.DUMMYFUNCTION("""COMPUTED_VALUE"""),31941.0)</f>
        <v>31941</v>
      </c>
      <c r="M104" s="73">
        <f>IFERROR(__xludf.DUMMYFUNCTION("""COMPUTED_VALUE"""),42713.0)</f>
        <v>42713</v>
      </c>
      <c r="N104" s="86">
        <f t="shared" si="5"/>
        <v>84475</v>
      </c>
      <c r="O104" s="56"/>
      <c r="P104" s="56"/>
    </row>
    <row r="105">
      <c r="A105" s="55"/>
      <c r="B105" s="55"/>
      <c r="C105" s="55"/>
      <c r="D105" s="55"/>
      <c r="E105" s="55"/>
      <c r="F105" s="55"/>
      <c r="G105" s="55"/>
      <c r="H105" s="55"/>
      <c r="I105" s="55"/>
      <c r="J105" s="75" t="str">
        <f>IFERROR(__xludf.DUMMYFUNCTION("""COMPUTED_VALUE"""),"2020 Q1")</f>
        <v>2020 Q1</v>
      </c>
      <c r="K105" s="76">
        <f>IFERROR(__xludf.DUMMYFUNCTION("""COMPUTED_VALUE"""),18115.0)</f>
        <v>18115</v>
      </c>
      <c r="L105" s="76">
        <f>IFERROR(__xludf.DUMMYFUNCTION("""COMPUTED_VALUE"""),21235.0)</f>
        <v>21235</v>
      </c>
      <c r="M105" s="76">
        <f>IFERROR(__xludf.DUMMYFUNCTION("""COMPUTED_VALUE"""),23677.0)</f>
        <v>23677</v>
      </c>
      <c r="N105" s="87">
        <f t="shared" si="5"/>
        <v>63027</v>
      </c>
      <c r="O105" s="56"/>
      <c r="P105" s="56"/>
    </row>
    <row r="106">
      <c r="A106" s="55"/>
      <c r="B106" s="55"/>
      <c r="C106" s="55"/>
      <c r="D106" s="55"/>
      <c r="E106" s="55"/>
      <c r="F106" s="55"/>
      <c r="G106" s="55"/>
      <c r="H106" s="55"/>
      <c r="I106" s="55"/>
      <c r="J106" s="70" t="str">
        <f>IFERROR(__xludf.DUMMYFUNCTION("""COMPUTED_VALUE"""),"2020 Q2")</f>
        <v>2020 Q2</v>
      </c>
      <c r="K106" s="64">
        <f>IFERROR(__xludf.DUMMYFUNCTION("""COMPUTED_VALUE"""),29990.0)</f>
        <v>29990</v>
      </c>
      <c r="L106" s="64">
        <f>IFERROR(__xludf.DUMMYFUNCTION("""COMPUTED_VALUE"""),11972.0)</f>
        <v>11972</v>
      </c>
      <c r="M106" s="64">
        <f>IFERROR(__xludf.DUMMYFUNCTION("""COMPUTED_VALUE"""),17489.0)</f>
        <v>17489</v>
      </c>
      <c r="N106" s="65">
        <f t="shared" si="5"/>
        <v>59451</v>
      </c>
      <c r="O106" s="56"/>
      <c r="P106" s="56"/>
    </row>
    <row r="107">
      <c r="A107" s="55"/>
      <c r="B107" s="55"/>
      <c r="C107" s="55"/>
      <c r="D107" s="55"/>
      <c r="E107" s="55"/>
      <c r="F107" s="55"/>
      <c r="G107" s="55"/>
      <c r="H107" s="55"/>
      <c r="I107" s="55"/>
      <c r="J107" s="70" t="str">
        <f>IFERROR(__xludf.DUMMYFUNCTION("""COMPUTED_VALUE"""),"2020 Q3")</f>
        <v>2020 Q3</v>
      </c>
      <c r="K107" s="64">
        <f>IFERROR(__xludf.DUMMYFUNCTION("""COMPUTED_VALUE"""),34246.0)</f>
        <v>34246</v>
      </c>
      <c r="L107" s="64">
        <f>IFERROR(__xludf.DUMMYFUNCTION("""COMPUTED_VALUE"""),24074.0)</f>
        <v>24074</v>
      </c>
      <c r="M107" s="64">
        <f>IFERROR(__xludf.DUMMYFUNCTION("""COMPUTED_VALUE"""),22511.0)</f>
        <v>22511</v>
      </c>
      <c r="N107" s="65">
        <f t="shared" si="5"/>
        <v>80831</v>
      </c>
      <c r="O107" s="56"/>
      <c r="P107" s="56"/>
    </row>
    <row r="108">
      <c r="A108" s="55"/>
      <c r="B108" s="55"/>
      <c r="C108" s="55"/>
      <c r="D108" s="55"/>
      <c r="E108" s="55"/>
      <c r="F108" s="55"/>
      <c r="G108" s="55"/>
      <c r="H108" s="55"/>
      <c r="I108" s="55"/>
      <c r="J108" s="79" t="str">
        <f>IFERROR(__xludf.DUMMYFUNCTION("""COMPUTED_VALUE"""),"2020 Q4")</f>
        <v>2020 Q4</v>
      </c>
      <c r="K108" s="80">
        <f>IFERROR(__xludf.DUMMYFUNCTION("""COMPUTED_VALUE"""),57586.0)</f>
        <v>57586</v>
      </c>
      <c r="L108" s="80">
        <f>IFERROR(__xludf.DUMMYFUNCTION("""COMPUTED_VALUE"""),30695.0)</f>
        <v>30695</v>
      </c>
      <c r="M108" s="80">
        <f>IFERROR(__xludf.DUMMYFUNCTION("""COMPUTED_VALUE"""),26091.0)</f>
        <v>26091</v>
      </c>
      <c r="N108" s="88">
        <f t="shared" si="5"/>
        <v>114372</v>
      </c>
      <c r="O108" s="56"/>
      <c r="P108" s="56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82" t="str">
        <f>IFERROR(__xludf.DUMMYFUNCTION("""COMPUTED_VALUE"""),"2021 Q1")</f>
        <v>2021 Q1</v>
      </c>
      <c r="K109" s="83">
        <f>IFERROR(__xludf.DUMMYFUNCTION("""COMPUTED_VALUE"""),52858.0)</f>
        <v>52858</v>
      </c>
      <c r="L109" s="83">
        <f>IFERROR(__xludf.DUMMYFUNCTION("""COMPUTED_VALUE"""),31246.0)</f>
        <v>31246</v>
      </c>
      <c r="M109" s="83">
        <f>IFERROR(__xludf.DUMMYFUNCTION("""COMPUTED_VALUE"""),25177.0)</f>
        <v>25177</v>
      </c>
      <c r="N109" s="89">
        <f t="shared" si="5"/>
        <v>109281</v>
      </c>
      <c r="O109" s="56"/>
      <c r="P109" s="56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70" t="str">
        <f>IFERROR(__xludf.DUMMYFUNCTION("""COMPUTED_VALUE"""),"2021 Q2")</f>
        <v>2021 Q2</v>
      </c>
      <c r="K110" s="64">
        <f>IFERROR(__xludf.DUMMYFUNCTION("""COMPUTED_VALUE"""),31987.0)</f>
        <v>31987</v>
      </c>
      <c r="L110" s="64">
        <f>IFERROR(__xludf.DUMMYFUNCTION("""COMPUTED_VALUE"""),36465.0)</f>
        <v>36465</v>
      </c>
      <c r="M110" s="64">
        <f>IFERROR(__xludf.DUMMYFUNCTION("""COMPUTED_VALUE"""),28700.0)</f>
        <v>28700</v>
      </c>
      <c r="N110" s="65">
        <f t="shared" si="5"/>
        <v>97152</v>
      </c>
      <c r="O110" s="56"/>
      <c r="P110" s="56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70" t="str">
        <f>IFERROR(__xludf.DUMMYFUNCTION("""COMPUTED_VALUE"""),"2021 Q3")</f>
        <v>2021 Q3</v>
      </c>
      <c r="K111" s="64">
        <f>IFERROR(__xludf.DUMMYFUNCTION("""COMPUTED_VALUE"""),26906.0)</f>
        <v>26906</v>
      </c>
      <c r="L111" s="64">
        <f>IFERROR(__xludf.DUMMYFUNCTION("""COMPUTED_VALUE"""),33935.0)</f>
        <v>33935</v>
      </c>
      <c r="M111" s="64">
        <f>IFERROR(__xludf.DUMMYFUNCTION("""COMPUTED_VALUE"""),46750.0)</f>
        <v>46750</v>
      </c>
      <c r="N111" s="65">
        <f t="shared" si="5"/>
        <v>107591</v>
      </c>
      <c r="O111" s="56"/>
      <c r="P111" s="56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72" t="str">
        <f>IFERROR(__xludf.DUMMYFUNCTION("""COMPUTED_VALUE"""),"2021 Q4")</f>
        <v>2021 Q4</v>
      </c>
      <c r="K112" s="73">
        <f>IFERROR(__xludf.DUMMYFUNCTION("""COMPUTED_VALUE"""),39139.0)</f>
        <v>39139</v>
      </c>
      <c r="L112" s="73">
        <f>IFERROR(__xludf.DUMMYFUNCTION("""COMPUTED_VALUE"""),42018.0)</f>
        <v>42018</v>
      </c>
      <c r="M112" s="73">
        <f>IFERROR(__xludf.DUMMYFUNCTION("""COMPUTED_VALUE"""),52150.0)</f>
        <v>52150</v>
      </c>
      <c r="N112" s="86">
        <f t="shared" si="5"/>
        <v>133307</v>
      </c>
      <c r="O112" s="56"/>
      <c r="P112" s="56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75" t="str">
        <f>IFERROR(__xludf.DUMMYFUNCTION("""COMPUTED_VALUE"""),"2022 Q1")</f>
        <v>2022 Q1</v>
      </c>
      <c r="K113" s="76">
        <f>IFERROR(__xludf.DUMMYFUNCTION("""COMPUTED_VALUE"""),33619.0)</f>
        <v>33619</v>
      </c>
      <c r="L113" s="76">
        <f>IFERROR(__xludf.DUMMYFUNCTION("""COMPUTED_VALUE"""),32716.0)</f>
        <v>32716</v>
      </c>
      <c r="M113" s="76">
        <f>IFERROR(__xludf.DUMMYFUNCTION("""COMPUTED_VALUE"""),46000.0)</f>
        <v>46000</v>
      </c>
      <c r="N113" s="87">
        <f t="shared" si="5"/>
        <v>112335</v>
      </c>
      <c r="O113" s="56"/>
      <c r="P113" s="56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70" t="str">
        <f>IFERROR(__xludf.DUMMYFUNCTION("""COMPUTED_VALUE"""),"2022 Q2")</f>
        <v>2022 Q2</v>
      </c>
      <c r="K114" s="64">
        <f>IFERROR(__xludf.DUMMYFUNCTION("""COMPUTED_VALUE"""),30290.0)</f>
        <v>30290</v>
      </c>
      <c r="L114" s="64">
        <f>IFERROR(__xludf.DUMMYFUNCTION("""COMPUTED_VALUE"""),7432.0)</f>
        <v>7432</v>
      </c>
      <c r="M114" s="64">
        <f>IFERROR(__xludf.DUMMYFUNCTION("""COMPUTED_VALUE"""),47240.0)</f>
        <v>47240</v>
      </c>
      <c r="N114" s="65">
        <f t="shared" si="5"/>
        <v>84962</v>
      </c>
      <c r="O114" s="56"/>
      <c r="P114" s="56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70" t="str">
        <f>IFERROR(__xludf.DUMMYFUNCTION("""COMPUTED_VALUE"""),"2022 Q3")</f>
        <v>2022 Q3</v>
      </c>
      <c r="K115" s="64">
        <f>IFERROR(__xludf.DUMMYFUNCTION("""COMPUTED_VALUE"""),35130.0)</f>
        <v>35130</v>
      </c>
      <c r="L115" s="64">
        <f>IFERROR(__xludf.DUMMYFUNCTION("""COMPUTED_VALUE"""),15728.0)</f>
        <v>15728</v>
      </c>
      <c r="M115" s="64">
        <f>IFERROR(__xludf.DUMMYFUNCTION("""COMPUTED_VALUE"""),52000.0)</f>
        <v>52000</v>
      </c>
      <c r="N115" s="65">
        <f t="shared" si="5"/>
        <v>102858</v>
      </c>
      <c r="O115" s="56"/>
      <c r="P115" s="56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79" t="str">
        <f>IFERROR(__xludf.DUMMYFUNCTION("""COMPUTED_VALUE"""),"2022 Q4")</f>
        <v>2022 Q4</v>
      </c>
      <c r="K116" s="80">
        <f>IFERROR(__xludf.DUMMYFUNCTION("""COMPUTED_VALUE"""),25417.0)</f>
        <v>25417</v>
      </c>
      <c r="L116" s="80">
        <f>IFERROR(__xludf.DUMMYFUNCTION("""COMPUTED_VALUE"""),36480.0)</f>
        <v>36480</v>
      </c>
      <c r="M116" s="80">
        <f>IFERROR(__xludf.DUMMYFUNCTION("""COMPUTED_VALUE"""),54500.0)</f>
        <v>54500</v>
      </c>
      <c r="N116" s="88">
        <f t="shared" si="5"/>
        <v>116397</v>
      </c>
      <c r="O116" s="56"/>
      <c r="P116" s="56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82" t="str">
        <f>IFERROR(__xludf.DUMMYFUNCTION("""COMPUTED_VALUE"""),"2023 Q1")</f>
        <v>2023 Q1</v>
      </c>
      <c r="K117" s="83">
        <f>IFERROR(__xludf.DUMMYFUNCTION("""COMPUTED_VALUE"""),42782.0)</f>
        <v>42782</v>
      </c>
      <c r="L117" s="83">
        <f>IFERROR(__xludf.DUMMYFUNCTION("""COMPUTED_VALUE"""),18777.0)</f>
        <v>18777</v>
      </c>
      <c r="M117" s="83">
        <f>IFERROR(__xludf.DUMMYFUNCTION("""COMPUTED_VALUE"""),56000.0)</f>
        <v>56000</v>
      </c>
      <c r="N117" s="89">
        <f t="shared" si="5"/>
        <v>117559</v>
      </c>
      <c r="O117" s="56"/>
      <c r="P117" s="56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70" t="str">
        <f>IFERROR(__xludf.DUMMYFUNCTION("""COMPUTED_VALUE"""),"2023 Q2")</f>
        <v>2023 Q2</v>
      </c>
      <c r="K118" s="64">
        <f>IFERROR(__xludf.DUMMYFUNCTION("""COMPUTED_VALUE"""),47391.0)</f>
        <v>47391</v>
      </c>
      <c r="L118" s="64">
        <f>IFERROR(__xludf.DUMMYFUNCTION("""COMPUTED_VALUE"""),23182.0)</f>
        <v>23182</v>
      </c>
      <c r="M118" s="64">
        <f>IFERROR(__xludf.DUMMYFUNCTION("""COMPUTED_VALUE"""),59000.0)</f>
        <v>59000</v>
      </c>
      <c r="N118" s="65">
        <f t="shared" si="5"/>
        <v>129573</v>
      </c>
      <c r="O118" s="56"/>
      <c r="P118" s="56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70" t="str">
        <f>IFERROR(__xludf.DUMMYFUNCTION("""COMPUTED_VALUE"""),"2023 Q3")</f>
        <v>2023 Q3</v>
      </c>
      <c r="K119" s="64">
        <f>IFERROR(__xludf.DUMMYFUNCTION("""COMPUTED_VALUE"""),23447.0)</f>
        <v>23447</v>
      </c>
      <c r="L119" s="64">
        <f>IFERROR(__xludf.DUMMYFUNCTION("""COMPUTED_VALUE"""),21628.0)</f>
        <v>21628</v>
      </c>
      <c r="M119" s="64">
        <f>IFERROR(__xludf.DUMMYFUNCTION("""COMPUTED_VALUE"""),54000.0)</f>
        <v>54000</v>
      </c>
      <c r="N119" s="65">
        <f t="shared" si="5"/>
        <v>99075</v>
      </c>
      <c r="O119" s="56"/>
      <c r="P119" s="56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72" t="str">
        <f>IFERROR(__xludf.DUMMYFUNCTION("""COMPUTED_VALUE"""),"2023 Q4")</f>
        <v>2023 Q4</v>
      </c>
      <c r="K120" s="73">
        <f>IFERROR(__xludf.DUMMYFUNCTION("""COMPUTED_VALUE"""),33650.0)</f>
        <v>33650</v>
      </c>
      <c r="L120" s="73">
        <f>IFERROR(__xludf.DUMMYFUNCTION("""COMPUTED_VALUE"""),37345.0)</f>
        <v>37345</v>
      </c>
      <c r="M120" s="73">
        <f>IFERROR(__xludf.DUMMYFUNCTION("""COMPUTED_VALUE"""),50000.0)</f>
        <v>50000</v>
      </c>
      <c r="N120" s="86">
        <f t="shared" si="5"/>
        <v>120995</v>
      </c>
      <c r="O120" s="56"/>
      <c r="P120" s="56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75" t="str">
        <f>IFERROR(__xludf.DUMMYFUNCTION("""COMPUTED_VALUE"""),"2024 Q1")</f>
        <v>2024 Q1</v>
      </c>
      <c r="K121" s="76">
        <f>IFERROR(__xludf.DUMMYFUNCTION("""COMPUTED_VALUE"""),32054.0)</f>
        <v>32054</v>
      </c>
      <c r="L121" s="76">
        <f>IFERROR(__xludf.DUMMYFUNCTION("""COMPUTED_VALUE"""),24490.0)</f>
        <v>24490</v>
      </c>
      <c r="M121" s="76">
        <f>IFERROR(__xludf.DUMMYFUNCTION("""COMPUTED_VALUE"""),23000.0)</f>
        <v>23000</v>
      </c>
      <c r="N121" s="87">
        <f t="shared" si="5"/>
        <v>79544</v>
      </c>
      <c r="O121" s="56"/>
      <c r="P121" s="56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70" t="str">
        <f>IFERROR(__xludf.DUMMYFUNCTION("""COMPUTED_VALUE"""),"2024 Q2")</f>
        <v>2024 Q2</v>
      </c>
      <c r="K122" s="64">
        <f>IFERROR(__xludf.DUMMYFUNCTION("""COMPUTED_VALUE"""),38446.0)</f>
        <v>38446</v>
      </c>
      <c r="L122" s="64">
        <f>IFERROR(__xludf.DUMMYFUNCTION("""COMPUTED_VALUE"""),31655.0)</f>
        <v>31655</v>
      </c>
      <c r="M122" s="64">
        <f>IFERROR(__xludf.DUMMYFUNCTION("""COMPUTED_VALUE"""),45000.0)</f>
        <v>45000</v>
      </c>
      <c r="N122" s="65">
        <f t="shared" si="5"/>
        <v>115101</v>
      </c>
      <c r="O122" s="56"/>
      <c r="P122" s="56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70" t="str">
        <f>IFERROR(__xludf.DUMMYFUNCTION("""COMPUTED_VALUE"""),"2024 Q3")</f>
        <v>2024 Q3</v>
      </c>
      <c r="K123" s="64">
        <f>IFERROR(__xludf.DUMMYFUNCTION("""COMPUTED_VALUE"""),52052.0)</f>
        <v>52052</v>
      </c>
      <c r="L123" s="64">
        <f>IFERROR(__xludf.DUMMYFUNCTION("""COMPUTED_VALUE"""),23471.0)</f>
        <v>23471</v>
      </c>
      <c r="M123" s="64">
        <f>IFERROR(__xludf.DUMMYFUNCTION("""COMPUTED_VALUE"""),51000.0)</f>
        <v>51000</v>
      </c>
      <c r="N123" s="65">
        <f t="shared" si="5"/>
        <v>126523</v>
      </c>
      <c r="O123" s="56"/>
      <c r="P123" s="56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79" t="str">
        <f>IFERROR(__xludf.DUMMYFUNCTION("""COMPUTED_VALUE"""),"2024 Q4")</f>
        <v>2024 Q4</v>
      </c>
      <c r="K124" s="80">
        <f>IFERROR(__xludf.DUMMYFUNCTION("""COMPUTED_VALUE"""),54241.0)</f>
        <v>54241</v>
      </c>
      <c r="L124" s="80">
        <f>IFERROR(__xludf.DUMMYFUNCTION("""COMPUTED_VALUE"""),25622.0)</f>
        <v>25622</v>
      </c>
      <c r="M124" s="80">
        <f>IFERROR(__xludf.DUMMYFUNCTION("""COMPUTED_VALUE"""),56000.0)</f>
        <v>56000</v>
      </c>
      <c r="N124" s="88">
        <f t="shared" si="5"/>
        <v>135863</v>
      </c>
      <c r="O124" s="56"/>
      <c r="P124" s="56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82" t="str">
        <f>IFERROR(__xludf.DUMMYFUNCTION("""COMPUTED_VALUE"""),"2025 Q1")</f>
        <v>2025 Q1</v>
      </c>
      <c r="K125" s="83">
        <f>IFERROR(__xludf.DUMMYFUNCTION("""COMPUTED_VALUE"""),52718.0)</f>
        <v>52718</v>
      </c>
      <c r="L125" s="83">
        <f>IFERROR(__xludf.DUMMYFUNCTION("""COMPUTED_VALUE"""),21857.0)</f>
        <v>21857</v>
      </c>
      <c r="M125" s="83">
        <f>IFERROR(__xludf.DUMMYFUNCTION("""COMPUTED_VALUE"""),50640.0)</f>
        <v>50640</v>
      </c>
      <c r="N125" s="89">
        <f t="shared" si="5"/>
        <v>125215</v>
      </c>
      <c r="O125" s="56"/>
      <c r="P125" s="56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82" t="str">
        <f>IFERROR(__xludf.DUMMYFUNCTION("""COMPUTED_VALUE"""),"2025 Q2")</f>
        <v>2025 Q2</v>
      </c>
      <c r="K126" s="83">
        <f>IFERROR(__xludf.DUMMYFUNCTION("""COMPUTED_VALUE"""),39201.0)</f>
        <v>39201</v>
      </c>
      <c r="L126" s="83">
        <f>IFERROR(__xludf.DUMMYFUNCTION("""COMPUTED_VALUE"""),16583.0)</f>
        <v>16583</v>
      </c>
      <c r="M126" s="83">
        <f>IFERROR(__xludf.DUMMYFUNCTION("""COMPUTED_VALUE"""),49000.0)</f>
        <v>49000</v>
      </c>
      <c r="N126" s="65">
        <f t="shared" si="5"/>
        <v>104784</v>
      </c>
      <c r="O126" s="56"/>
      <c r="P126" s="56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70" t="str">
        <f>IFERROR(__xludf.DUMMYFUNCTION("""COMPUTED_VALUE"""),"2025 Q3")</f>
        <v>2025 Q3</v>
      </c>
      <c r="K127" s="64">
        <f>IFERROR(__xludf.DUMMYFUNCTION("""COMPUTED_VALUE"""),47942.0)</f>
        <v>47942</v>
      </c>
      <c r="L127" s="64">
        <f>IFERROR(__xludf.DUMMYFUNCTION("""COMPUTED_VALUE"""),21828.0)</f>
        <v>21828</v>
      </c>
      <c r="M127" s="64">
        <f>IFERROR(__xludf.DUMMYFUNCTION("""COMPUTED_VALUE"""),45000.0)</f>
        <v>45000</v>
      </c>
      <c r="N127" s="65">
        <f t="shared" si="5"/>
        <v>114770</v>
      </c>
      <c r="O127" s="56"/>
      <c r="P127" s="56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70" t="str">
        <f>IFERROR(__xludf.DUMMYFUNCTION("""COMPUTED_VALUE"""),"2025 Q4")</f>
        <v>2025 Q4</v>
      </c>
      <c r="K128" s="64">
        <f>IFERROR(__xludf.DUMMYFUNCTION("""COMPUTED_VALUE"""),60500.0)</f>
        <v>60500</v>
      </c>
      <c r="L128" s="64">
        <f>IFERROR(__xludf.DUMMYFUNCTION("""COMPUTED_VALUE"""),23407.0)</f>
        <v>23407</v>
      </c>
      <c r="M128" s="64">
        <f>IFERROR(__xludf.DUMMYFUNCTION("""COMPUTED_VALUE"""),22170.0)</f>
        <v>22170</v>
      </c>
      <c r="N128" s="65">
        <f t="shared" si="5"/>
        <v>106077</v>
      </c>
      <c r="O128" s="56"/>
      <c r="P128" s="56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85" t="s">
        <v>1</v>
      </c>
      <c r="K129" s="69">
        <f t="shared" ref="K129:N129" si="6">sum(K95:K128)</f>
        <v>968981</v>
      </c>
      <c r="L129" s="69">
        <f t="shared" si="6"/>
        <v>709725</v>
      </c>
      <c r="M129" s="69">
        <f t="shared" si="6"/>
        <v>1299275</v>
      </c>
      <c r="N129" s="69">
        <f t="shared" si="6"/>
        <v>2977981</v>
      </c>
      <c r="O129" s="56"/>
      <c r="P129" s="56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6"/>
      <c r="R130" s="56"/>
      <c r="S130" s="56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6"/>
      <c r="L131" s="56"/>
      <c r="M131" s="56"/>
      <c r="N131" s="56"/>
      <c r="O131" s="56"/>
      <c r="P131" s="56"/>
      <c r="Q131" s="56"/>
      <c r="R131" s="56"/>
      <c r="S131" s="56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6"/>
      <c r="L132" s="56"/>
      <c r="M132" s="56"/>
      <c r="N132" s="56"/>
      <c r="O132" s="56"/>
      <c r="P132" s="56"/>
      <c r="Q132" s="56"/>
      <c r="R132" s="56"/>
      <c r="S132" s="56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7" t="s">
        <v>92</v>
      </c>
      <c r="K133" s="58"/>
      <c r="L133" s="58"/>
      <c r="M133" s="58"/>
      <c r="N133" s="59"/>
      <c r="O133" s="56"/>
      <c r="P133" s="56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60" t="str">
        <f>IFERROR(__xludf.DUMMYFUNCTION("query({Delivery_Data!$A:$I},""select Col3,sum(Col8) where Col3&lt;&gt;'' and Col4='Model Y' and (Col6='China' or Col6='USA' or Col6='Europe') and Col8 is not null group by Col3 pivot Col6"",1)"),"Quarter")</f>
        <v>Quarter</v>
      </c>
      <c r="K134" s="61" t="str">
        <f>IFERROR(__xludf.DUMMYFUNCTION("""COMPUTED_VALUE"""),"China")</f>
        <v>China</v>
      </c>
      <c r="L134" s="61" t="str">
        <f>IFERROR(__xludf.DUMMYFUNCTION("""COMPUTED_VALUE"""),"Europe")</f>
        <v>Europe</v>
      </c>
      <c r="M134" s="61" t="str">
        <f>IFERROR(__xludf.DUMMYFUNCTION("""COMPUTED_VALUE"""),"USA")</f>
        <v>USA</v>
      </c>
      <c r="N134" s="62" t="s">
        <v>1</v>
      </c>
      <c r="O134" s="56"/>
      <c r="P134" s="56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70" t="str">
        <f>IFERROR(__xludf.DUMMYFUNCTION("""COMPUTED_VALUE"""),"2020 Q1")</f>
        <v>2020 Q1</v>
      </c>
      <c r="K135" s="64"/>
      <c r="L135" s="64"/>
      <c r="M135" s="64">
        <f>IFERROR(__xludf.DUMMYFUNCTION("""COMPUTED_VALUE"""),2166.0)</f>
        <v>2166</v>
      </c>
      <c r="N135" s="65">
        <f t="shared" ref="N135:N158" si="7">sum(K135:M135)</f>
        <v>2166</v>
      </c>
      <c r="O135" s="56"/>
      <c r="P135" s="56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70" t="str">
        <f>IFERROR(__xludf.DUMMYFUNCTION("""COMPUTED_VALUE"""),"2020 Q2")</f>
        <v>2020 Q2</v>
      </c>
      <c r="K136" s="64"/>
      <c r="L136" s="64"/>
      <c r="M136" s="64">
        <f>IFERROR(__xludf.DUMMYFUNCTION("""COMPUTED_VALUE"""),13025.0)</f>
        <v>13025</v>
      </c>
      <c r="N136" s="65">
        <f t="shared" si="7"/>
        <v>13025</v>
      </c>
      <c r="O136" s="56"/>
      <c r="P136" s="56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70" t="str">
        <f>IFERROR(__xludf.DUMMYFUNCTION("""COMPUTED_VALUE"""),"2020 Q3")</f>
        <v>2020 Q3</v>
      </c>
      <c r="K137" s="64"/>
      <c r="L137" s="64"/>
      <c r="M137" s="64">
        <f>IFERROR(__xludf.DUMMYFUNCTION("""COMPUTED_VALUE"""),31153.0)</f>
        <v>31153</v>
      </c>
      <c r="N137" s="65">
        <f t="shared" si="7"/>
        <v>31153</v>
      </c>
      <c r="O137" s="56"/>
      <c r="P137" s="56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72" t="str">
        <f>IFERROR(__xludf.DUMMYFUNCTION("""COMPUTED_VALUE"""),"2020 Q4")</f>
        <v>2020 Q4</v>
      </c>
      <c r="K138" s="73"/>
      <c r="L138" s="73"/>
      <c r="M138" s="73">
        <f>IFERROR(__xludf.DUMMYFUNCTION("""COMPUTED_VALUE"""),37370.0)</f>
        <v>37370</v>
      </c>
      <c r="N138" s="86">
        <f t="shared" si="7"/>
        <v>37370</v>
      </c>
      <c r="O138" s="56"/>
      <c r="P138" s="56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75" t="str">
        <f>IFERROR(__xludf.DUMMYFUNCTION("""COMPUTED_VALUE"""),"2021 Q1")</f>
        <v>2021 Q1</v>
      </c>
      <c r="K139" s="76">
        <f>IFERROR(__xludf.DUMMYFUNCTION("""COMPUTED_VALUE"""),16422.0)</f>
        <v>16422</v>
      </c>
      <c r="L139" s="76"/>
      <c r="M139" s="76">
        <f>IFERROR(__xludf.DUMMYFUNCTION("""COMPUTED_VALUE"""),42497.0)</f>
        <v>42497</v>
      </c>
      <c r="N139" s="87">
        <f t="shared" si="7"/>
        <v>58919</v>
      </c>
      <c r="O139" s="56"/>
      <c r="P139" s="56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70" t="str">
        <f>IFERROR(__xludf.DUMMYFUNCTION("""COMPUTED_VALUE"""),"2021 Q2")</f>
        <v>2021 Q2</v>
      </c>
      <c r="K140" s="64">
        <f>IFERROR(__xludf.DUMMYFUNCTION("""COMPUTED_VALUE"""),29758.0)</f>
        <v>29758</v>
      </c>
      <c r="L140" s="64"/>
      <c r="M140" s="64">
        <f>IFERROR(__xludf.DUMMYFUNCTION("""COMPUTED_VALUE"""),46699.0)</f>
        <v>46699</v>
      </c>
      <c r="N140" s="65">
        <f t="shared" si="7"/>
        <v>76457</v>
      </c>
      <c r="O140" s="56"/>
      <c r="P140" s="56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70" t="str">
        <f>IFERROR(__xludf.DUMMYFUNCTION("""COMPUTED_VALUE"""),"2021 Q3")</f>
        <v>2021 Q3</v>
      </c>
      <c r="K141" s="64">
        <f>IFERROR(__xludf.DUMMYFUNCTION("""COMPUTED_VALUE"""),46753.0)</f>
        <v>46753</v>
      </c>
      <c r="L141" s="64">
        <f>IFERROR(__xludf.DUMMYFUNCTION("""COMPUTED_VALUE"""),12402.0)</f>
        <v>12402</v>
      </c>
      <c r="M141" s="64">
        <f>IFERROR(__xludf.DUMMYFUNCTION("""COMPUTED_VALUE"""),41296.0)</f>
        <v>41296</v>
      </c>
      <c r="N141" s="65">
        <f t="shared" si="7"/>
        <v>100451</v>
      </c>
      <c r="O141" s="56"/>
      <c r="P141" s="56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79" t="str">
        <f>IFERROR(__xludf.DUMMYFUNCTION("""COMPUTED_VALUE"""),"2021 Q4")</f>
        <v>2021 Q4</v>
      </c>
      <c r="K142" s="80">
        <f>IFERROR(__xludf.DUMMYFUNCTION("""COMPUTED_VALUE"""),76920.0)</f>
        <v>76920</v>
      </c>
      <c r="L142" s="80">
        <f>IFERROR(__xludf.DUMMYFUNCTION("""COMPUTED_VALUE"""),12975.0)</f>
        <v>12975</v>
      </c>
      <c r="M142" s="80">
        <f>IFERROR(__xludf.DUMMYFUNCTION("""COMPUTED_VALUE"""),53339.0)</f>
        <v>53339</v>
      </c>
      <c r="N142" s="88">
        <f t="shared" si="7"/>
        <v>143234</v>
      </c>
      <c r="O142" s="56"/>
      <c r="P142" s="56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82" t="str">
        <f>IFERROR(__xludf.DUMMYFUNCTION("""COMPUTED_VALUE"""),"2022 Q1")</f>
        <v>2022 Q1</v>
      </c>
      <c r="K143" s="83">
        <f>IFERROR(__xludf.DUMMYFUNCTION("""COMPUTED_VALUE"""),74681.0)</f>
        <v>74681</v>
      </c>
      <c r="L143" s="83">
        <f>IFERROR(__xludf.DUMMYFUNCTION("""COMPUTED_VALUE"""),26876.0)</f>
        <v>26876</v>
      </c>
      <c r="M143" s="83">
        <f>IFERROR(__xludf.DUMMYFUNCTION("""COMPUTED_VALUE"""),52046.0)</f>
        <v>52046</v>
      </c>
      <c r="N143" s="89">
        <f t="shared" si="7"/>
        <v>153603</v>
      </c>
      <c r="O143" s="56"/>
      <c r="P143" s="56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70" t="str">
        <f>IFERROR(__xludf.DUMMYFUNCTION("""COMPUTED_VALUE"""),"2022 Q2")</f>
        <v>2022 Q2</v>
      </c>
      <c r="K144" s="64">
        <f>IFERROR(__xludf.DUMMYFUNCTION("""COMPUTED_VALUE"""),58985.0)</f>
        <v>58985</v>
      </c>
      <c r="L144" s="64">
        <f>IFERROR(__xludf.DUMMYFUNCTION("""COMPUTED_VALUE"""),18778.0)</f>
        <v>18778</v>
      </c>
      <c r="M144" s="64">
        <f>IFERROR(__xludf.DUMMYFUNCTION("""COMPUTED_VALUE"""),55290.0)</f>
        <v>55290</v>
      </c>
      <c r="N144" s="65">
        <f t="shared" si="7"/>
        <v>133053</v>
      </c>
      <c r="O144" s="56"/>
      <c r="P144" s="56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70" t="str">
        <f>IFERROR(__xludf.DUMMYFUNCTION("""COMPUTED_VALUE"""),"2022 Q3")</f>
        <v>2022 Q3</v>
      </c>
      <c r="K145" s="64">
        <f>IFERROR(__xludf.DUMMYFUNCTION("""COMPUTED_VALUE"""),85446.0)</f>
        <v>85446</v>
      </c>
      <c r="L145" s="64">
        <f>IFERROR(__xludf.DUMMYFUNCTION("""COMPUTED_VALUE"""),38570.0)</f>
        <v>38570</v>
      </c>
      <c r="M145" s="64">
        <f>IFERROR(__xludf.DUMMYFUNCTION("""COMPUTED_VALUE"""),57433.0)</f>
        <v>57433</v>
      </c>
      <c r="N145" s="65">
        <f t="shared" si="7"/>
        <v>181449</v>
      </c>
      <c r="O145" s="56"/>
      <c r="P145" s="56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72" t="str">
        <f>IFERROR(__xludf.DUMMYFUNCTION("""COMPUTED_VALUE"""),"2022 Q4")</f>
        <v>2022 Q4</v>
      </c>
      <c r="K146" s="73">
        <f>IFERROR(__xludf.DUMMYFUNCTION("""COMPUTED_VALUE"""),96202.0)</f>
        <v>96202</v>
      </c>
      <c r="L146" s="73">
        <f>IFERROR(__xludf.DUMMYFUNCTION("""COMPUTED_VALUE"""),54473.0)</f>
        <v>54473</v>
      </c>
      <c r="M146" s="73">
        <f>IFERROR(__xludf.DUMMYFUNCTION("""COMPUTED_VALUE"""),86052.0)</f>
        <v>86052</v>
      </c>
      <c r="N146" s="86">
        <f t="shared" si="7"/>
        <v>236727</v>
      </c>
      <c r="O146" s="56"/>
      <c r="P146" s="56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75" t="str">
        <f>IFERROR(__xludf.DUMMYFUNCTION("""COMPUTED_VALUE"""),"2023 Q1")</f>
        <v>2023 Q1</v>
      </c>
      <c r="K147" s="76">
        <f>IFERROR(__xludf.DUMMYFUNCTION("""COMPUTED_VALUE"""),94647.0)</f>
        <v>94647</v>
      </c>
      <c r="L147" s="76">
        <f>IFERROR(__xludf.DUMMYFUNCTION("""COMPUTED_VALUE"""),73382.0)</f>
        <v>73382</v>
      </c>
      <c r="M147" s="76">
        <f>IFERROR(__xludf.DUMMYFUNCTION("""COMPUTED_VALUE"""),88228.0)</f>
        <v>88228</v>
      </c>
      <c r="N147" s="87">
        <f t="shared" si="7"/>
        <v>256257</v>
      </c>
      <c r="O147" s="56"/>
      <c r="P147" s="56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70" t="str">
        <f>IFERROR(__xludf.DUMMYFUNCTION("""COMPUTED_VALUE"""),"2023 Q2")</f>
        <v>2023 Q2</v>
      </c>
      <c r="K148" s="64">
        <f>IFERROR(__xludf.DUMMYFUNCTION("""COMPUTED_VALUE"""),109285.0)</f>
        <v>109285</v>
      </c>
      <c r="L148" s="64">
        <f>IFERROR(__xludf.DUMMYFUNCTION("""COMPUTED_VALUE"""),65512.0)</f>
        <v>65512</v>
      </c>
      <c r="M148" s="64">
        <f>IFERROR(__xludf.DUMMYFUNCTION("""COMPUTED_VALUE"""),99140.0)</f>
        <v>99140</v>
      </c>
      <c r="N148" s="65">
        <f t="shared" si="7"/>
        <v>273937</v>
      </c>
      <c r="O148" s="56"/>
      <c r="P148" s="56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70" t="str">
        <f>IFERROR(__xludf.DUMMYFUNCTION("""COMPUTED_VALUE"""),"2023 Q3")</f>
        <v>2023 Q3</v>
      </c>
      <c r="K149" s="64">
        <f>IFERROR(__xludf.DUMMYFUNCTION("""COMPUTED_VALUE"""),116177.0)</f>
        <v>116177</v>
      </c>
      <c r="L149" s="64">
        <f>IFERROR(__xludf.DUMMYFUNCTION("""COMPUTED_VALUE"""),62399.0)</f>
        <v>62399</v>
      </c>
      <c r="M149" s="64">
        <f>IFERROR(__xludf.DUMMYFUNCTION("""COMPUTED_VALUE"""),90051.0)</f>
        <v>90051</v>
      </c>
      <c r="N149" s="65">
        <f t="shared" si="7"/>
        <v>268627</v>
      </c>
      <c r="O149" s="56"/>
      <c r="P149" s="56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79" t="str">
        <f>IFERROR(__xludf.DUMMYFUNCTION("""COMPUTED_VALUE"""),"2023 Q4")</f>
        <v>2023 Q4</v>
      </c>
      <c r="K150" s="80">
        <f>IFERROR(__xludf.DUMMYFUNCTION("""COMPUTED_VALUE"""),136285.0)</f>
        <v>136285</v>
      </c>
      <c r="L150" s="80">
        <f>IFERROR(__xludf.DUMMYFUNCTION("""COMPUTED_VALUE"""),53892.0)</f>
        <v>53892</v>
      </c>
      <c r="M150" s="80">
        <f>IFERROR(__xludf.DUMMYFUNCTION("""COMPUTED_VALUE"""),107614.0)</f>
        <v>107614</v>
      </c>
      <c r="N150" s="88">
        <f t="shared" si="7"/>
        <v>297791</v>
      </c>
      <c r="O150" s="56"/>
      <c r="P150" s="56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82" t="str">
        <f>IFERROR(__xludf.DUMMYFUNCTION("""COMPUTED_VALUE"""),"2024 Q1")</f>
        <v>2024 Q1</v>
      </c>
      <c r="K151" s="83">
        <f>IFERROR(__xludf.DUMMYFUNCTION("""COMPUTED_VALUE"""),100366.0)</f>
        <v>100366</v>
      </c>
      <c r="L151" s="83">
        <f>IFERROR(__xludf.DUMMYFUNCTION("""COMPUTED_VALUE"""),60181.0)</f>
        <v>60181</v>
      </c>
      <c r="M151" s="83">
        <f>IFERROR(__xludf.DUMMYFUNCTION("""COMPUTED_VALUE"""),87260.0)</f>
        <v>87260</v>
      </c>
      <c r="N151" s="89">
        <f t="shared" si="7"/>
        <v>247807</v>
      </c>
      <c r="O151" s="56"/>
      <c r="P151" s="56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70" t="str">
        <f>IFERROR(__xludf.DUMMYFUNCTION("""COMPUTED_VALUE"""),"2024 Q2")</f>
        <v>2024 Q2</v>
      </c>
      <c r="K152" s="64">
        <f>IFERROR(__xludf.DUMMYFUNCTION("""COMPUTED_VALUE"""),107451.0)</f>
        <v>107451</v>
      </c>
      <c r="L152" s="64">
        <f>IFERROR(__xludf.DUMMYFUNCTION("""COMPUTED_VALUE"""),46047.0)</f>
        <v>46047</v>
      </c>
      <c r="M152" s="64">
        <f>IFERROR(__xludf.DUMMYFUNCTION("""COMPUTED_VALUE"""),105028.0)</f>
        <v>105028</v>
      </c>
      <c r="N152" s="65">
        <f t="shared" si="7"/>
        <v>258526</v>
      </c>
      <c r="O152" s="56"/>
      <c r="P152" s="56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70" t="str">
        <f>IFERROR(__xludf.DUMMYFUNCTION("""COMPUTED_VALUE"""),"2024 Q3")</f>
        <v>2024 Q3</v>
      </c>
      <c r="K153" s="64">
        <f>IFERROR(__xludf.DUMMYFUNCTION("""COMPUTED_VALUE"""),129831.0)</f>
        <v>129831</v>
      </c>
      <c r="L153" s="64">
        <f>IFERROR(__xludf.DUMMYFUNCTION("""COMPUTED_VALUE"""),53841.0)</f>
        <v>53841</v>
      </c>
      <c r="M153" s="64">
        <f>IFERROR(__xludf.DUMMYFUNCTION("""COMPUTED_VALUE"""),84385.0)</f>
        <v>84385</v>
      </c>
      <c r="N153" s="65">
        <f t="shared" si="7"/>
        <v>268057</v>
      </c>
      <c r="O153" s="56"/>
      <c r="P153" s="56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72" t="str">
        <f>IFERROR(__xludf.DUMMYFUNCTION("""COMPUTED_VALUE"""),"2024 Q4")</f>
        <v>2024 Q4</v>
      </c>
      <c r="K154" s="73">
        <f>IFERROR(__xludf.DUMMYFUNCTION("""COMPUTED_VALUE"""),142661.0)</f>
        <v>142661</v>
      </c>
      <c r="L154" s="73">
        <f>IFERROR(__xludf.DUMMYFUNCTION("""COMPUTED_VALUE"""),57311.0)</f>
        <v>57311</v>
      </c>
      <c r="M154" s="73">
        <f>IFERROR(__xludf.DUMMYFUNCTION("""COMPUTED_VALUE"""),95351.0)</f>
        <v>95351</v>
      </c>
      <c r="N154" s="86">
        <f t="shared" si="7"/>
        <v>295323</v>
      </c>
      <c r="O154" s="56"/>
      <c r="P154" s="56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75" t="str">
        <f>IFERROR(__xludf.DUMMYFUNCTION("""COMPUTED_VALUE"""),"2025 Q1")</f>
        <v>2025 Q1</v>
      </c>
      <c r="K155" s="76">
        <f>IFERROR(__xludf.DUMMYFUNCTION("""COMPUTED_VALUE"""),81889.0)</f>
        <v>81889</v>
      </c>
      <c r="L155" s="76">
        <f>IFERROR(__xludf.DUMMYFUNCTION("""COMPUTED_VALUE"""),31695.0)</f>
        <v>31695</v>
      </c>
      <c r="M155" s="76">
        <f>IFERROR(__xludf.DUMMYFUNCTION("""COMPUTED_VALUE"""),58590.0)</f>
        <v>58590</v>
      </c>
      <c r="N155" s="87">
        <f t="shared" si="7"/>
        <v>172174</v>
      </c>
      <c r="O155" s="56"/>
      <c r="P155" s="56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82" t="str">
        <f>IFERROR(__xludf.DUMMYFUNCTION("""COMPUTED_VALUE"""),"2025 Q2")</f>
        <v>2025 Q2</v>
      </c>
      <c r="K156" s="83">
        <f>IFERROR(__xludf.DUMMYFUNCTION("""COMPUTED_VALUE"""),89602.0)</f>
        <v>89602</v>
      </c>
      <c r="L156" s="83">
        <f>IFERROR(__xludf.DUMMYFUNCTION("""COMPUTED_VALUE"""),39145.0)</f>
        <v>39145</v>
      </c>
      <c r="M156" s="83">
        <f>IFERROR(__xludf.DUMMYFUNCTION("""COMPUTED_VALUE"""),90802.0)</f>
        <v>90802</v>
      </c>
      <c r="N156" s="65">
        <f t="shared" si="7"/>
        <v>219549</v>
      </c>
      <c r="O156" s="56"/>
      <c r="P156" s="56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70" t="str">
        <f>IFERROR(__xludf.DUMMYFUNCTION("""COMPUTED_VALUE"""),"2025 Q3")</f>
        <v>2025 Q3</v>
      </c>
      <c r="K157" s="64">
        <f>IFERROR(__xludf.DUMMYFUNCTION("""COMPUTED_VALUE"""),121352.0)</f>
        <v>121352</v>
      </c>
      <c r="L157" s="64">
        <f>IFERROR(__xludf.DUMMYFUNCTION("""COMPUTED_VALUE"""),41574.0)</f>
        <v>41574</v>
      </c>
      <c r="M157" s="64">
        <f>IFERROR(__xludf.DUMMYFUNCTION("""COMPUTED_VALUE"""),134950.0)</f>
        <v>134950</v>
      </c>
      <c r="N157" s="65">
        <f t="shared" si="7"/>
        <v>297876</v>
      </c>
      <c r="O157" s="56"/>
      <c r="P157" s="56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70" t="str">
        <f>IFERROR(__xludf.DUMMYFUNCTION("""COMPUTED_VALUE"""),"2025 Q4")</f>
        <v>2025 Q4</v>
      </c>
      <c r="K158" s="64">
        <f>IFERROR(__xludf.DUMMYFUNCTION("""COMPUTED_VALUE"""),132494.0)</f>
        <v>132494</v>
      </c>
      <c r="L158" s="64">
        <f>IFERROR(__xludf.DUMMYFUNCTION("""COMPUTED_VALUE"""),41123.0)</f>
        <v>41123</v>
      </c>
      <c r="M158" s="64">
        <f>IFERROR(__xludf.DUMMYFUNCTION("""COMPUTED_VALUE"""),78093.0)</f>
        <v>78093</v>
      </c>
      <c r="N158" s="65">
        <f t="shared" si="7"/>
        <v>251710</v>
      </c>
      <c r="O158" s="56"/>
      <c r="P158" s="56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85" t="s">
        <v>1</v>
      </c>
      <c r="K159" s="69">
        <f t="shared" ref="K159:N159" si="8">sum(K135:K158)</f>
        <v>1847207</v>
      </c>
      <c r="L159" s="69">
        <f t="shared" si="8"/>
        <v>790176</v>
      </c>
      <c r="M159" s="69">
        <f t="shared" si="8"/>
        <v>1637858</v>
      </c>
      <c r="N159" s="69">
        <f t="shared" si="8"/>
        <v>4275241</v>
      </c>
      <c r="O159" s="56"/>
      <c r="P159" s="56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6"/>
      <c r="L160" s="56"/>
      <c r="M160" s="56"/>
      <c r="N160" s="56"/>
      <c r="O160" s="56"/>
      <c r="P160" s="56"/>
      <c r="Q160" s="56"/>
      <c r="R160" s="56"/>
      <c r="S160" s="56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6"/>
      <c r="L161" s="56"/>
      <c r="M161" s="56"/>
      <c r="N161" s="56"/>
      <c r="O161" s="56"/>
      <c r="P161" s="56"/>
      <c r="Q161" s="56"/>
      <c r="R161" s="56"/>
      <c r="S161" s="56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6"/>
      <c r="L162" s="56"/>
      <c r="M162" s="56"/>
      <c r="N162" s="56"/>
      <c r="O162" s="56"/>
      <c r="P162" s="56"/>
      <c r="Q162" s="56"/>
      <c r="R162" s="56"/>
      <c r="S162" s="56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6"/>
      <c r="L163" s="56"/>
      <c r="M163" s="56"/>
      <c r="N163" s="56"/>
      <c r="O163" s="56"/>
      <c r="P163" s="56"/>
      <c r="Q163" s="56"/>
      <c r="R163" s="56"/>
      <c r="S163" s="56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6"/>
      <c r="L164" s="56"/>
      <c r="M164" s="56"/>
      <c r="N164" s="56"/>
      <c r="O164" s="56"/>
      <c r="P164" s="56"/>
      <c r="Q164" s="56"/>
      <c r="R164" s="56"/>
      <c r="S164" s="56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6"/>
      <c r="L165" s="56"/>
      <c r="M165" s="56"/>
      <c r="N165" s="56"/>
      <c r="O165" s="56"/>
      <c r="P165" s="56"/>
      <c r="Q165" s="56"/>
      <c r="R165" s="56"/>
      <c r="S165" s="56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6"/>
      <c r="L166" s="56"/>
      <c r="M166" s="56"/>
      <c r="N166" s="56"/>
      <c r="O166" s="56"/>
      <c r="P166" s="56"/>
      <c r="Q166" s="56"/>
      <c r="R166" s="56"/>
      <c r="S166" s="56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6"/>
      <c r="L167" s="56"/>
      <c r="M167" s="56"/>
      <c r="N167" s="56"/>
      <c r="O167" s="56"/>
      <c r="P167" s="56"/>
      <c r="Q167" s="56"/>
      <c r="R167" s="56"/>
      <c r="S167" s="56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7" t="s">
        <v>93</v>
      </c>
      <c r="K168" s="58"/>
      <c r="L168" s="58"/>
      <c r="M168" s="58"/>
      <c r="N168" s="59"/>
      <c r="O168" s="56"/>
      <c r="P168" s="56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60" t="str">
        <f>IFERROR(__xludf.DUMMYFUNCTION("query({Delivery_Data!$A:$I},""select Col3,sum(Col8) where Col3&lt;&gt;'' and (Col4='Model 3' or Col4='Model Y') and (Col6='China' or Col6='USA' or Col6='Europe') and Col8 is not null group by Col3 pivot Col6"",1)"),"Quarter")</f>
        <v>Quarter</v>
      </c>
      <c r="K169" s="61" t="str">
        <f>IFERROR(__xludf.DUMMYFUNCTION("""COMPUTED_VALUE"""),"China")</f>
        <v>China</v>
      </c>
      <c r="L169" s="61" t="str">
        <f>IFERROR(__xludf.DUMMYFUNCTION("""COMPUTED_VALUE"""),"Europe")</f>
        <v>Europe</v>
      </c>
      <c r="M169" s="61" t="str">
        <f>IFERROR(__xludf.DUMMYFUNCTION("""COMPUTED_VALUE"""),"USA")</f>
        <v>USA</v>
      </c>
      <c r="N169" s="62" t="s">
        <v>1</v>
      </c>
      <c r="O169" s="56"/>
      <c r="P169" s="56"/>
    </row>
    <row r="170" hidden="1">
      <c r="A170" s="55"/>
      <c r="B170" s="55"/>
      <c r="C170" s="55"/>
      <c r="D170" s="55"/>
      <c r="E170" s="55"/>
      <c r="F170" s="55"/>
      <c r="G170" s="55"/>
      <c r="H170" s="55"/>
      <c r="I170" s="55"/>
      <c r="J170" s="70" t="str">
        <f>IFERROR(__xludf.DUMMYFUNCTION("""COMPUTED_VALUE"""),"2017 Q3")</f>
        <v>2017 Q3</v>
      </c>
      <c r="K170" s="64"/>
      <c r="L170" s="64"/>
      <c r="M170" s="64">
        <f>IFERROR(__xludf.DUMMYFUNCTION("""COMPUTED_VALUE"""),222.0)</f>
        <v>222</v>
      </c>
      <c r="N170" s="65">
        <f t="shared" ref="N170:N203" si="9">sum(K170:M170)</f>
        <v>222</v>
      </c>
      <c r="O170" s="56"/>
      <c r="P170" s="56"/>
    </row>
    <row r="171" hidden="1">
      <c r="A171" s="55"/>
      <c r="B171" s="55"/>
      <c r="C171" s="55"/>
      <c r="D171" s="55"/>
      <c r="E171" s="55"/>
      <c r="F171" s="55"/>
      <c r="G171" s="55"/>
      <c r="H171" s="55"/>
      <c r="I171" s="55"/>
      <c r="J171" s="70" t="str">
        <f>IFERROR(__xludf.DUMMYFUNCTION("""COMPUTED_VALUE"""),"2017 Q4")</f>
        <v>2017 Q4</v>
      </c>
      <c r="K171" s="64"/>
      <c r="L171" s="64"/>
      <c r="M171" s="64">
        <f>IFERROR(__xludf.DUMMYFUNCTION("""COMPUTED_VALUE"""),1542.0)</f>
        <v>1542</v>
      </c>
      <c r="N171" s="65">
        <f t="shared" si="9"/>
        <v>1542</v>
      </c>
      <c r="O171" s="56"/>
      <c r="P171" s="56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70" t="str">
        <f>IFERROR(__xludf.DUMMYFUNCTION("""COMPUTED_VALUE"""),"2018 Q1")</f>
        <v>2018 Q1</v>
      </c>
      <c r="K172" s="64"/>
      <c r="L172" s="64"/>
      <c r="M172" s="64">
        <f>IFERROR(__xludf.DUMMYFUNCTION("""COMPUTED_VALUE"""),8182.0)</f>
        <v>8182</v>
      </c>
      <c r="N172" s="65">
        <f t="shared" si="9"/>
        <v>8182</v>
      </c>
      <c r="O172" s="56"/>
      <c r="P172" s="56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70" t="str">
        <f>IFERROR(__xludf.DUMMYFUNCTION("""COMPUTED_VALUE"""),"2018 Q2")</f>
        <v>2018 Q2</v>
      </c>
      <c r="K173" s="64"/>
      <c r="L173" s="64"/>
      <c r="M173" s="64">
        <f>IFERROR(__xludf.DUMMYFUNCTION("""COMPUTED_VALUE"""),17118.0)</f>
        <v>17118</v>
      </c>
      <c r="N173" s="65">
        <f t="shared" si="9"/>
        <v>17118</v>
      </c>
      <c r="O173" s="56"/>
      <c r="P173" s="56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70" t="str">
        <f>IFERROR(__xludf.DUMMYFUNCTION("""COMPUTED_VALUE"""),"2018 Q3")</f>
        <v>2018 Q3</v>
      </c>
      <c r="K174" s="64"/>
      <c r="L174" s="64"/>
      <c r="M174" s="64">
        <f>IFERROR(__xludf.DUMMYFUNCTION("""COMPUTED_VALUE"""),54353.0)</f>
        <v>54353</v>
      </c>
      <c r="N174" s="65">
        <f t="shared" si="9"/>
        <v>54353</v>
      </c>
      <c r="O174" s="56"/>
      <c r="P174" s="56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72" t="str">
        <f>IFERROR(__xludf.DUMMYFUNCTION("""COMPUTED_VALUE"""),"2018 Q4")</f>
        <v>2018 Q4</v>
      </c>
      <c r="K175" s="73"/>
      <c r="L175" s="73"/>
      <c r="M175" s="73">
        <f>IFERROR(__xludf.DUMMYFUNCTION("""COMPUTED_VALUE"""),61606.0)</f>
        <v>61606</v>
      </c>
      <c r="N175" s="86">
        <f t="shared" si="9"/>
        <v>61606</v>
      </c>
      <c r="O175" s="56"/>
      <c r="P175" s="56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75" t="str">
        <f>IFERROR(__xludf.DUMMYFUNCTION("""COMPUTED_VALUE"""),"2019 Q1")</f>
        <v>2019 Q1</v>
      </c>
      <c r="K176" s="76">
        <f>IFERROR(__xludf.DUMMYFUNCTION("""COMPUTED_VALUE"""),3738.0)</f>
        <v>3738</v>
      </c>
      <c r="L176" s="76">
        <f>IFERROR(__xludf.DUMMYFUNCTION("""COMPUTED_VALUE"""),19643.0)</f>
        <v>19643</v>
      </c>
      <c r="M176" s="76">
        <f>IFERROR(__xludf.DUMMYFUNCTION("""COMPUTED_VALUE"""),26681.0)</f>
        <v>26681</v>
      </c>
      <c r="N176" s="87">
        <f t="shared" si="9"/>
        <v>50062</v>
      </c>
      <c r="O176" s="56"/>
      <c r="P176" s="56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70" t="str">
        <f>IFERROR(__xludf.DUMMYFUNCTION("""COMPUTED_VALUE"""),"2019 Q2")</f>
        <v>2019 Q2</v>
      </c>
      <c r="K177" s="64">
        <f>IFERROR(__xludf.DUMMYFUNCTION("""COMPUTED_VALUE"""),8139.0)</f>
        <v>8139</v>
      </c>
      <c r="L177" s="64">
        <f>IFERROR(__xludf.DUMMYFUNCTION("""COMPUTED_VALUE"""),18220.0)</f>
        <v>18220</v>
      </c>
      <c r="M177" s="64">
        <f>IFERROR(__xludf.DUMMYFUNCTION("""COMPUTED_VALUE"""),45727.0)</f>
        <v>45727</v>
      </c>
      <c r="N177" s="65">
        <f t="shared" si="9"/>
        <v>72086</v>
      </c>
      <c r="O177" s="56"/>
      <c r="P177" s="56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70" t="str">
        <f>IFERROR(__xludf.DUMMYFUNCTION("""COMPUTED_VALUE"""),"2019 Q3")</f>
        <v>2019 Q3</v>
      </c>
      <c r="K178" s="64">
        <f>IFERROR(__xludf.DUMMYFUNCTION("""COMPUTED_VALUE"""),7576.0)</f>
        <v>7576</v>
      </c>
      <c r="L178" s="64">
        <f>IFERROR(__xludf.DUMMYFUNCTION("""COMPUTED_VALUE"""),26080.0)</f>
        <v>26080</v>
      </c>
      <c r="M178" s="64">
        <f>IFERROR(__xludf.DUMMYFUNCTION("""COMPUTED_VALUE"""),38036.0)</f>
        <v>38036</v>
      </c>
      <c r="N178" s="65">
        <f t="shared" si="9"/>
        <v>71692</v>
      </c>
      <c r="O178" s="56"/>
      <c r="P178" s="56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79" t="str">
        <f>IFERROR(__xludf.DUMMYFUNCTION("""COMPUTED_VALUE"""),"2019 Q4")</f>
        <v>2019 Q4</v>
      </c>
      <c r="K179" s="80">
        <f>IFERROR(__xludf.DUMMYFUNCTION("""COMPUTED_VALUE"""),9821.0)</f>
        <v>9821</v>
      </c>
      <c r="L179" s="80">
        <f>IFERROR(__xludf.DUMMYFUNCTION("""COMPUTED_VALUE"""),31941.0)</f>
        <v>31941</v>
      </c>
      <c r="M179" s="80">
        <f>IFERROR(__xludf.DUMMYFUNCTION("""COMPUTED_VALUE"""),42713.0)</f>
        <v>42713</v>
      </c>
      <c r="N179" s="88">
        <f t="shared" si="9"/>
        <v>84475</v>
      </c>
      <c r="O179" s="56"/>
      <c r="P179" s="56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82" t="str">
        <f>IFERROR(__xludf.DUMMYFUNCTION("""COMPUTED_VALUE"""),"2020 Q1")</f>
        <v>2020 Q1</v>
      </c>
      <c r="K180" s="83">
        <f>IFERROR(__xludf.DUMMYFUNCTION("""COMPUTED_VALUE"""),18115.0)</f>
        <v>18115</v>
      </c>
      <c r="L180" s="83">
        <f>IFERROR(__xludf.DUMMYFUNCTION("""COMPUTED_VALUE"""),21235.0)</f>
        <v>21235</v>
      </c>
      <c r="M180" s="83">
        <f>IFERROR(__xludf.DUMMYFUNCTION("""COMPUTED_VALUE"""),25843.0)</f>
        <v>25843</v>
      </c>
      <c r="N180" s="89">
        <f t="shared" si="9"/>
        <v>65193</v>
      </c>
      <c r="O180" s="56"/>
      <c r="P180" s="56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70" t="str">
        <f>IFERROR(__xludf.DUMMYFUNCTION("""COMPUTED_VALUE"""),"2020 Q2")</f>
        <v>2020 Q2</v>
      </c>
      <c r="K181" s="64">
        <f>IFERROR(__xludf.DUMMYFUNCTION("""COMPUTED_VALUE"""),29990.0)</f>
        <v>29990</v>
      </c>
      <c r="L181" s="64">
        <f>IFERROR(__xludf.DUMMYFUNCTION("""COMPUTED_VALUE"""),11972.0)</f>
        <v>11972</v>
      </c>
      <c r="M181" s="64">
        <f>IFERROR(__xludf.DUMMYFUNCTION("""COMPUTED_VALUE"""),30514.0)</f>
        <v>30514</v>
      </c>
      <c r="N181" s="65">
        <f t="shared" si="9"/>
        <v>72476</v>
      </c>
      <c r="O181" s="56"/>
      <c r="P181" s="56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70" t="str">
        <f>IFERROR(__xludf.DUMMYFUNCTION("""COMPUTED_VALUE"""),"2020 Q3")</f>
        <v>2020 Q3</v>
      </c>
      <c r="K182" s="64">
        <f>IFERROR(__xludf.DUMMYFUNCTION("""COMPUTED_VALUE"""),34246.0)</f>
        <v>34246</v>
      </c>
      <c r="L182" s="64">
        <f>IFERROR(__xludf.DUMMYFUNCTION("""COMPUTED_VALUE"""),24074.0)</f>
        <v>24074</v>
      </c>
      <c r="M182" s="64">
        <f>IFERROR(__xludf.DUMMYFUNCTION("""COMPUTED_VALUE"""),53664.0)</f>
        <v>53664</v>
      </c>
      <c r="N182" s="65">
        <f t="shared" si="9"/>
        <v>111984</v>
      </c>
      <c r="O182" s="56"/>
      <c r="P182" s="56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72" t="str">
        <f>IFERROR(__xludf.DUMMYFUNCTION("""COMPUTED_VALUE"""),"2020 Q4")</f>
        <v>2020 Q4</v>
      </c>
      <c r="K183" s="73">
        <f>IFERROR(__xludf.DUMMYFUNCTION("""COMPUTED_VALUE"""),57586.0)</f>
        <v>57586</v>
      </c>
      <c r="L183" s="73">
        <f>IFERROR(__xludf.DUMMYFUNCTION("""COMPUTED_VALUE"""),30695.0)</f>
        <v>30695</v>
      </c>
      <c r="M183" s="73">
        <f>IFERROR(__xludf.DUMMYFUNCTION("""COMPUTED_VALUE"""),63461.0)</f>
        <v>63461</v>
      </c>
      <c r="N183" s="86">
        <f t="shared" si="9"/>
        <v>151742</v>
      </c>
      <c r="O183" s="56"/>
      <c r="P183" s="56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75" t="str">
        <f>IFERROR(__xludf.DUMMYFUNCTION("""COMPUTED_VALUE"""),"2021 Q1")</f>
        <v>2021 Q1</v>
      </c>
      <c r="K184" s="76">
        <f>IFERROR(__xludf.DUMMYFUNCTION("""COMPUTED_VALUE"""),69280.0)</f>
        <v>69280</v>
      </c>
      <c r="L184" s="76">
        <f>IFERROR(__xludf.DUMMYFUNCTION("""COMPUTED_VALUE"""),31246.0)</f>
        <v>31246</v>
      </c>
      <c r="M184" s="76">
        <f>IFERROR(__xludf.DUMMYFUNCTION("""COMPUTED_VALUE"""),67674.0)</f>
        <v>67674</v>
      </c>
      <c r="N184" s="87">
        <f t="shared" si="9"/>
        <v>168200</v>
      </c>
      <c r="O184" s="56"/>
      <c r="P184" s="56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70" t="str">
        <f>IFERROR(__xludf.DUMMYFUNCTION("""COMPUTED_VALUE"""),"2021 Q2")</f>
        <v>2021 Q2</v>
      </c>
      <c r="K185" s="64">
        <f>IFERROR(__xludf.DUMMYFUNCTION("""COMPUTED_VALUE"""),61745.0)</f>
        <v>61745</v>
      </c>
      <c r="L185" s="64">
        <f>IFERROR(__xludf.DUMMYFUNCTION("""COMPUTED_VALUE"""),36465.0)</f>
        <v>36465</v>
      </c>
      <c r="M185" s="64">
        <f>IFERROR(__xludf.DUMMYFUNCTION("""COMPUTED_VALUE"""),75399.0)</f>
        <v>75399</v>
      </c>
      <c r="N185" s="65">
        <f t="shared" si="9"/>
        <v>173609</v>
      </c>
      <c r="O185" s="56"/>
      <c r="P185" s="56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70" t="str">
        <f>IFERROR(__xludf.DUMMYFUNCTION("""COMPUTED_VALUE"""),"2021 Q3")</f>
        <v>2021 Q3</v>
      </c>
      <c r="K186" s="64">
        <f>IFERROR(__xludf.DUMMYFUNCTION("""COMPUTED_VALUE"""),73659.0)</f>
        <v>73659</v>
      </c>
      <c r="L186" s="64">
        <f>IFERROR(__xludf.DUMMYFUNCTION("""COMPUTED_VALUE"""),46337.0)</f>
        <v>46337</v>
      </c>
      <c r="M186" s="64">
        <f>IFERROR(__xludf.DUMMYFUNCTION("""COMPUTED_VALUE"""),88046.0)</f>
        <v>88046</v>
      </c>
      <c r="N186" s="65">
        <f t="shared" si="9"/>
        <v>208042</v>
      </c>
      <c r="O186" s="56"/>
      <c r="P186" s="56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79" t="str">
        <f>IFERROR(__xludf.DUMMYFUNCTION("""COMPUTED_VALUE"""),"2021 Q4")</f>
        <v>2021 Q4</v>
      </c>
      <c r="K187" s="80">
        <f>IFERROR(__xludf.DUMMYFUNCTION("""COMPUTED_VALUE"""),116059.0)</f>
        <v>116059</v>
      </c>
      <c r="L187" s="80">
        <f>IFERROR(__xludf.DUMMYFUNCTION("""COMPUTED_VALUE"""),54993.0)</f>
        <v>54993</v>
      </c>
      <c r="M187" s="80">
        <f>IFERROR(__xludf.DUMMYFUNCTION("""COMPUTED_VALUE"""),105489.0)</f>
        <v>105489</v>
      </c>
      <c r="N187" s="88">
        <f t="shared" si="9"/>
        <v>276541</v>
      </c>
      <c r="O187" s="56"/>
      <c r="P187" s="56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82" t="str">
        <f>IFERROR(__xludf.DUMMYFUNCTION("""COMPUTED_VALUE"""),"2022 Q1")</f>
        <v>2022 Q1</v>
      </c>
      <c r="K188" s="83">
        <f>IFERROR(__xludf.DUMMYFUNCTION("""COMPUTED_VALUE"""),108300.0)</f>
        <v>108300</v>
      </c>
      <c r="L188" s="83">
        <f>IFERROR(__xludf.DUMMYFUNCTION("""COMPUTED_VALUE"""),59592.0)</f>
        <v>59592</v>
      </c>
      <c r="M188" s="83">
        <f>IFERROR(__xludf.DUMMYFUNCTION("""COMPUTED_VALUE"""),98046.0)</f>
        <v>98046</v>
      </c>
      <c r="N188" s="89">
        <f t="shared" si="9"/>
        <v>265938</v>
      </c>
      <c r="O188" s="56"/>
      <c r="P188" s="56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70" t="str">
        <f>IFERROR(__xludf.DUMMYFUNCTION("""COMPUTED_VALUE"""),"2022 Q2")</f>
        <v>2022 Q2</v>
      </c>
      <c r="K189" s="64">
        <f>IFERROR(__xludf.DUMMYFUNCTION("""COMPUTED_VALUE"""),89275.0)</f>
        <v>89275</v>
      </c>
      <c r="L189" s="64">
        <f>IFERROR(__xludf.DUMMYFUNCTION("""COMPUTED_VALUE"""),26210.0)</f>
        <v>26210</v>
      </c>
      <c r="M189" s="64">
        <f>IFERROR(__xludf.DUMMYFUNCTION("""COMPUTED_VALUE"""),102530.0)</f>
        <v>102530</v>
      </c>
      <c r="N189" s="65">
        <f t="shared" si="9"/>
        <v>218015</v>
      </c>
      <c r="O189" s="56"/>
      <c r="P189" s="56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70" t="str">
        <f>IFERROR(__xludf.DUMMYFUNCTION("""COMPUTED_VALUE"""),"2022 Q3")</f>
        <v>2022 Q3</v>
      </c>
      <c r="K190" s="64">
        <f>IFERROR(__xludf.DUMMYFUNCTION("""COMPUTED_VALUE"""),120576.0)</f>
        <v>120576</v>
      </c>
      <c r="L190" s="64">
        <f>IFERROR(__xludf.DUMMYFUNCTION("""COMPUTED_VALUE"""),54298.0)</f>
        <v>54298</v>
      </c>
      <c r="M190" s="64">
        <f>IFERROR(__xludf.DUMMYFUNCTION("""COMPUTED_VALUE"""),109433.0)</f>
        <v>109433</v>
      </c>
      <c r="N190" s="65">
        <f t="shared" si="9"/>
        <v>284307</v>
      </c>
      <c r="O190" s="56"/>
      <c r="P190" s="56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72" t="str">
        <f>IFERROR(__xludf.DUMMYFUNCTION("""COMPUTED_VALUE"""),"2022 Q4")</f>
        <v>2022 Q4</v>
      </c>
      <c r="K191" s="73">
        <f>IFERROR(__xludf.DUMMYFUNCTION("""COMPUTED_VALUE"""),121619.0)</f>
        <v>121619</v>
      </c>
      <c r="L191" s="73">
        <f>IFERROR(__xludf.DUMMYFUNCTION("""COMPUTED_VALUE"""),90953.0)</f>
        <v>90953</v>
      </c>
      <c r="M191" s="73">
        <f>IFERROR(__xludf.DUMMYFUNCTION("""COMPUTED_VALUE"""),140552.0)</f>
        <v>140552</v>
      </c>
      <c r="N191" s="86">
        <f t="shared" si="9"/>
        <v>353124</v>
      </c>
      <c r="O191" s="56"/>
      <c r="P191" s="56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75" t="str">
        <f>IFERROR(__xludf.DUMMYFUNCTION("""COMPUTED_VALUE"""),"2023 Q1")</f>
        <v>2023 Q1</v>
      </c>
      <c r="K192" s="76">
        <f>IFERROR(__xludf.DUMMYFUNCTION("""COMPUTED_VALUE"""),137429.0)</f>
        <v>137429</v>
      </c>
      <c r="L192" s="76">
        <f>IFERROR(__xludf.DUMMYFUNCTION("""COMPUTED_VALUE"""),92159.0)</f>
        <v>92159</v>
      </c>
      <c r="M192" s="76">
        <f>IFERROR(__xludf.DUMMYFUNCTION("""COMPUTED_VALUE"""),144228.0)</f>
        <v>144228</v>
      </c>
      <c r="N192" s="87">
        <f t="shared" si="9"/>
        <v>373816</v>
      </c>
      <c r="O192" s="56"/>
      <c r="P192" s="56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70" t="str">
        <f>IFERROR(__xludf.DUMMYFUNCTION("""COMPUTED_VALUE"""),"2023 Q2")</f>
        <v>2023 Q2</v>
      </c>
      <c r="K193" s="64">
        <f>IFERROR(__xludf.DUMMYFUNCTION("""COMPUTED_VALUE"""),156676.0)</f>
        <v>156676</v>
      </c>
      <c r="L193" s="64">
        <f>IFERROR(__xludf.DUMMYFUNCTION("""COMPUTED_VALUE"""),88694.0)</f>
        <v>88694</v>
      </c>
      <c r="M193" s="64">
        <f>IFERROR(__xludf.DUMMYFUNCTION("""COMPUTED_VALUE"""),158140.0)</f>
        <v>158140</v>
      </c>
      <c r="N193" s="65">
        <f t="shared" si="9"/>
        <v>403510</v>
      </c>
      <c r="O193" s="56"/>
      <c r="P193" s="56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70" t="str">
        <f>IFERROR(__xludf.DUMMYFUNCTION("""COMPUTED_VALUE"""),"2023 Q3")</f>
        <v>2023 Q3</v>
      </c>
      <c r="K194" s="64">
        <f>IFERROR(__xludf.DUMMYFUNCTION("""COMPUTED_VALUE"""),139624.0)</f>
        <v>139624</v>
      </c>
      <c r="L194" s="64">
        <f>IFERROR(__xludf.DUMMYFUNCTION("""COMPUTED_VALUE"""),84027.0)</f>
        <v>84027</v>
      </c>
      <c r="M194" s="64">
        <f>IFERROR(__xludf.DUMMYFUNCTION("""COMPUTED_VALUE"""),144051.0)</f>
        <v>144051</v>
      </c>
      <c r="N194" s="65">
        <f t="shared" si="9"/>
        <v>367702</v>
      </c>
      <c r="O194" s="56"/>
      <c r="P194" s="56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79" t="str">
        <f>IFERROR(__xludf.DUMMYFUNCTION("""COMPUTED_VALUE"""),"2023 Q4")</f>
        <v>2023 Q4</v>
      </c>
      <c r="K195" s="80">
        <f>IFERROR(__xludf.DUMMYFUNCTION("""COMPUTED_VALUE"""),169935.0)</f>
        <v>169935</v>
      </c>
      <c r="L195" s="80">
        <f>IFERROR(__xludf.DUMMYFUNCTION("""COMPUTED_VALUE"""),91237.0)</f>
        <v>91237</v>
      </c>
      <c r="M195" s="80">
        <f>IFERROR(__xludf.DUMMYFUNCTION("""COMPUTED_VALUE"""),157614.0)</f>
        <v>157614</v>
      </c>
      <c r="N195" s="88">
        <f t="shared" si="9"/>
        <v>418786</v>
      </c>
      <c r="O195" s="56"/>
      <c r="P195" s="56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82" t="str">
        <f>IFERROR(__xludf.DUMMYFUNCTION("""COMPUTED_VALUE"""),"2024 Q1")</f>
        <v>2024 Q1</v>
      </c>
      <c r="K196" s="83">
        <f>IFERROR(__xludf.DUMMYFUNCTION("""COMPUTED_VALUE"""),132420.0)</f>
        <v>132420</v>
      </c>
      <c r="L196" s="83">
        <f>IFERROR(__xludf.DUMMYFUNCTION("""COMPUTED_VALUE"""),84671.0)</f>
        <v>84671</v>
      </c>
      <c r="M196" s="83">
        <f>IFERROR(__xludf.DUMMYFUNCTION("""COMPUTED_VALUE"""),110260.0)</f>
        <v>110260</v>
      </c>
      <c r="N196" s="89">
        <f t="shared" si="9"/>
        <v>327351</v>
      </c>
      <c r="O196" s="56"/>
      <c r="P196" s="56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70" t="str">
        <f>IFERROR(__xludf.DUMMYFUNCTION("""COMPUTED_VALUE"""),"2024 Q2")</f>
        <v>2024 Q2</v>
      </c>
      <c r="K197" s="64">
        <f>IFERROR(__xludf.DUMMYFUNCTION("""COMPUTED_VALUE"""),145897.0)</f>
        <v>145897</v>
      </c>
      <c r="L197" s="64">
        <f>IFERROR(__xludf.DUMMYFUNCTION("""COMPUTED_VALUE"""),77702.0)</f>
        <v>77702</v>
      </c>
      <c r="M197" s="64">
        <f>IFERROR(__xludf.DUMMYFUNCTION("""COMPUTED_VALUE"""),150028.0)</f>
        <v>150028</v>
      </c>
      <c r="N197" s="65">
        <f t="shared" si="9"/>
        <v>373627</v>
      </c>
      <c r="O197" s="56"/>
      <c r="P197" s="56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70" t="str">
        <f>IFERROR(__xludf.DUMMYFUNCTION("""COMPUTED_VALUE"""),"2024 Q3")</f>
        <v>2024 Q3</v>
      </c>
      <c r="K198" s="64">
        <f>IFERROR(__xludf.DUMMYFUNCTION("""COMPUTED_VALUE"""),181883.0)</f>
        <v>181883</v>
      </c>
      <c r="L198" s="64">
        <f>IFERROR(__xludf.DUMMYFUNCTION("""COMPUTED_VALUE"""),77312.0)</f>
        <v>77312</v>
      </c>
      <c r="M198" s="64">
        <f>IFERROR(__xludf.DUMMYFUNCTION("""COMPUTED_VALUE"""),135385.0)</f>
        <v>135385</v>
      </c>
      <c r="N198" s="65">
        <f t="shared" si="9"/>
        <v>394580</v>
      </c>
      <c r="O198" s="56"/>
      <c r="P198" s="56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72" t="str">
        <f>IFERROR(__xludf.DUMMYFUNCTION("""COMPUTED_VALUE"""),"2024 Q4")</f>
        <v>2024 Q4</v>
      </c>
      <c r="K199" s="73">
        <f>IFERROR(__xludf.DUMMYFUNCTION("""COMPUTED_VALUE"""),196902.0)</f>
        <v>196902</v>
      </c>
      <c r="L199" s="73">
        <f>IFERROR(__xludf.DUMMYFUNCTION("""COMPUTED_VALUE"""),82933.0)</f>
        <v>82933</v>
      </c>
      <c r="M199" s="73">
        <f>IFERROR(__xludf.DUMMYFUNCTION("""COMPUTED_VALUE"""),151351.0)</f>
        <v>151351</v>
      </c>
      <c r="N199" s="86">
        <f t="shared" si="9"/>
        <v>431186</v>
      </c>
      <c r="O199" s="56"/>
      <c r="P199" s="56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75" t="str">
        <f>IFERROR(__xludf.DUMMYFUNCTION("""COMPUTED_VALUE"""),"2025 Q1")</f>
        <v>2025 Q1</v>
      </c>
      <c r="K200" s="76">
        <f>IFERROR(__xludf.DUMMYFUNCTION("""COMPUTED_VALUE"""),134607.0)</f>
        <v>134607</v>
      </c>
      <c r="L200" s="76">
        <f>IFERROR(__xludf.DUMMYFUNCTION("""COMPUTED_VALUE"""),53552.0)</f>
        <v>53552</v>
      </c>
      <c r="M200" s="76">
        <f>IFERROR(__xludf.DUMMYFUNCTION("""COMPUTED_VALUE"""),109230.0)</f>
        <v>109230</v>
      </c>
      <c r="N200" s="87">
        <f t="shared" si="9"/>
        <v>297389</v>
      </c>
      <c r="O200" s="56"/>
      <c r="P200" s="56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82" t="str">
        <f>IFERROR(__xludf.DUMMYFUNCTION("""COMPUTED_VALUE"""),"2025 Q2")</f>
        <v>2025 Q2</v>
      </c>
      <c r="K201" s="83">
        <f>IFERROR(__xludf.DUMMYFUNCTION("""COMPUTED_VALUE"""),128803.0)</f>
        <v>128803</v>
      </c>
      <c r="L201" s="83">
        <f>IFERROR(__xludf.DUMMYFUNCTION("""COMPUTED_VALUE"""),55728.0)</f>
        <v>55728</v>
      </c>
      <c r="M201" s="83">
        <f>IFERROR(__xludf.DUMMYFUNCTION("""COMPUTED_VALUE"""),139802.0)</f>
        <v>139802</v>
      </c>
      <c r="N201" s="65">
        <f t="shared" si="9"/>
        <v>324333</v>
      </c>
      <c r="O201" s="56"/>
      <c r="P201" s="56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70" t="str">
        <f>IFERROR(__xludf.DUMMYFUNCTION("""COMPUTED_VALUE"""),"2025 Q3")</f>
        <v>2025 Q3</v>
      </c>
      <c r="K202" s="64">
        <f>IFERROR(__xludf.DUMMYFUNCTION("""COMPUTED_VALUE"""),169294.0)</f>
        <v>169294</v>
      </c>
      <c r="L202" s="64">
        <f>IFERROR(__xludf.DUMMYFUNCTION("""COMPUTED_VALUE"""),63402.0)</f>
        <v>63402</v>
      </c>
      <c r="M202" s="64">
        <f>IFERROR(__xludf.DUMMYFUNCTION("""COMPUTED_VALUE"""),179950.0)</f>
        <v>179950</v>
      </c>
      <c r="N202" s="65">
        <f t="shared" si="9"/>
        <v>412646</v>
      </c>
      <c r="O202" s="56"/>
      <c r="P202" s="56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70" t="str">
        <f>IFERROR(__xludf.DUMMYFUNCTION("""COMPUTED_VALUE"""),"2025 Q4")</f>
        <v>2025 Q4</v>
      </c>
      <c r="K203" s="64">
        <f>IFERROR(__xludf.DUMMYFUNCTION("""COMPUTED_VALUE"""),192994.0)</f>
        <v>192994</v>
      </c>
      <c r="L203" s="64">
        <f>IFERROR(__xludf.DUMMYFUNCTION("""COMPUTED_VALUE"""),64530.0)</f>
        <v>64530</v>
      </c>
      <c r="M203" s="64">
        <f>IFERROR(__xludf.DUMMYFUNCTION("""COMPUTED_VALUE"""),100263.0)</f>
        <v>100263</v>
      </c>
      <c r="N203" s="65">
        <f t="shared" si="9"/>
        <v>357787</v>
      </c>
      <c r="O203" s="56"/>
      <c r="P203" s="56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85" t="s">
        <v>1</v>
      </c>
      <c r="K204" s="69">
        <f t="shared" ref="K204:N204" si="10">sum(K170:K203)</f>
        <v>2816188</v>
      </c>
      <c r="L204" s="69">
        <f t="shared" si="10"/>
        <v>1499901</v>
      </c>
      <c r="M204" s="69">
        <f t="shared" si="10"/>
        <v>2937133</v>
      </c>
      <c r="N204" s="69">
        <f t="shared" si="10"/>
        <v>7253222</v>
      </c>
      <c r="O204" s="56"/>
      <c r="P204" s="56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6"/>
      <c r="L205" s="56"/>
      <c r="M205" s="56"/>
      <c r="N205" s="56"/>
      <c r="O205" s="56"/>
      <c r="P205" s="56"/>
      <c r="Q205" s="56"/>
      <c r="R205" s="56"/>
      <c r="S205" s="56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6"/>
      <c r="L206" s="56"/>
      <c r="M206" s="56"/>
      <c r="N206" s="56"/>
      <c r="O206" s="56"/>
      <c r="P206" s="56"/>
      <c r="Q206" s="56"/>
      <c r="R206" s="56"/>
      <c r="S206" s="56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6"/>
      <c r="L207" s="56"/>
      <c r="M207" s="56"/>
      <c r="N207" s="56"/>
      <c r="O207" s="56"/>
      <c r="P207" s="56"/>
      <c r="Q207" s="56"/>
      <c r="R207" s="56"/>
      <c r="S207" s="56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6"/>
      <c r="L208" s="56"/>
      <c r="M208" s="56"/>
      <c r="N208" s="56"/>
      <c r="O208" s="56"/>
      <c r="P208" s="56"/>
      <c r="Q208" s="56"/>
      <c r="R208" s="56"/>
      <c r="S208" s="56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7" t="s">
        <v>93</v>
      </c>
      <c r="K209" s="58"/>
      <c r="L209" s="58"/>
      <c r="M209" s="58"/>
      <c r="N209" s="59"/>
      <c r="O209" s="56"/>
      <c r="P209" s="56"/>
      <c r="Q209" s="56"/>
      <c r="R209" s="56"/>
      <c r="S209" s="56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60" t="str">
        <f>IFERROR(__xludf.DUMMYFUNCTION("query({Delivery_Data!$A:$I},""select Col3,sum(Col8) where Col3&lt;&gt;'' and Col8 is not null group by Col3 pivot Col7"",1)"),"Quarter")</f>
        <v>Quarter</v>
      </c>
      <c r="K210" s="61" t="str">
        <f>IFERROR(__xludf.DUMMYFUNCTION("""COMPUTED_VALUE"""),"APAC")</f>
        <v>APAC</v>
      </c>
      <c r="L210" s="61" t="str">
        <f>IFERROR(__xludf.DUMMYFUNCTION("""COMPUTED_VALUE"""),"Europe")</f>
        <v>Europe</v>
      </c>
      <c r="M210" s="61" t="str">
        <f>IFERROR(__xludf.DUMMYFUNCTION("""COMPUTED_VALUE"""),"North America")</f>
        <v>North America</v>
      </c>
      <c r="N210" s="62" t="s">
        <v>1</v>
      </c>
      <c r="O210" s="56"/>
      <c r="P210" s="56"/>
      <c r="Q210" s="56"/>
      <c r="R210" s="56"/>
      <c r="S210" s="56"/>
    </row>
    <row r="211" hidden="1">
      <c r="A211" s="55"/>
      <c r="B211" s="55"/>
      <c r="C211" s="55"/>
      <c r="D211" s="55"/>
      <c r="E211" s="55"/>
      <c r="F211" s="55"/>
      <c r="G211" s="55"/>
      <c r="H211" s="55"/>
      <c r="I211" s="55"/>
      <c r="J211" s="70" t="str">
        <f>IFERROR(__xludf.DUMMYFUNCTION("""COMPUTED_VALUE"""),"2012 Q3")</f>
        <v>2012 Q3</v>
      </c>
      <c r="K211" s="64"/>
      <c r="L211" s="64"/>
      <c r="M211" s="64">
        <f>IFERROR(__xludf.DUMMYFUNCTION("""COMPUTED_VALUE"""),253.0)</f>
        <v>253</v>
      </c>
      <c r="N211" s="65">
        <f t="shared" ref="N211:N264" si="11">sum(K211:M211)</f>
        <v>253</v>
      </c>
      <c r="O211" s="56"/>
      <c r="P211" s="56"/>
      <c r="Q211" s="56"/>
      <c r="R211" s="56"/>
      <c r="S211" s="56"/>
    </row>
    <row r="212" hidden="1">
      <c r="A212" s="55"/>
      <c r="B212" s="55"/>
      <c r="C212" s="55"/>
      <c r="D212" s="55"/>
      <c r="E212" s="55"/>
      <c r="F212" s="55"/>
      <c r="G212" s="55"/>
      <c r="H212" s="55"/>
      <c r="I212" s="55"/>
      <c r="J212" s="70" t="str">
        <f>IFERROR(__xludf.DUMMYFUNCTION("""COMPUTED_VALUE"""),"2012 Q4")</f>
        <v>2012 Q4</v>
      </c>
      <c r="K212" s="64"/>
      <c r="L212" s="64"/>
      <c r="M212" s="64">
        <f>IFERROR(__xludf.DUMMYFUNCTION("""COMPUTED_VALUE"""),2397.0)</f>
        <v>2397</v>
      </c>
      <c r="N212" s="65">
        <f t="shared" si="11"/>
        <v>2397</v>
      </c>
      <c r="O212" s="56"/>
      <c r="P212" s="56"/>
      <c r="Q212" s="56"/>
      <c r="R212" s="56"/>
      <c r="S212" s="56"/>
    </row>
    <row r="213" hidden="1">
      <c r="A213" s="55"/>
      <c r="B213" s="55"/>
      <c r="C213" s="55"/>
      <c r="D213" s="55"/>
      <c r="E213" s="55"/>
      <c r="F213" s="55"/>
      <c r="G213" s="55"/>
      <c r="H213" s="55"/>
      <c r="I213" s="55"/>
      <c r="J213" s="70" t="str">
        <f>IFERROR(__xludf.DUMMYFUNCTION("""COMPUTED_VALUE"""),"2013 Q1")</f>
        <v>2013 Q1</v>
      </c>
      <c r="K213" s="64"/>
      <c r="L213" s="64"/>
      <c r="M213" s="64">
        <f>IFERROR(__xludf.DUMMYFUNCTION("""COMPUTED_VALUE"""),4911.0)</f>
        <v>4911</v>
      </c>
      <c r="N213" s="65">
        <f t="shared" si="11"/>
        <v>4911</v>
      </c>
      <c r="O213" s="56"/>
      <c r="P213" s="56"/>
      <c r="Q213" s="56"/>
      <c r="R213" s="56"/>
      <c r="S213" s="56"/>
    </row>
    <row r="214" hidden="1">
      <c r="A214" s="55"/>
      <c r="B214" s="55"/>
      <c r="C214" s="55"/>
      <c r="D214" s="55"/>
      <c r="E214" s="55"/>
      <c r="F214" s="55"/>
      <c r="G214" s="55"/>
      <c r="H214" s="55"/>
      <c r="I214" s="55"/>
      <c r="J214" s="70" t="str">
        <f>IFERROR(__xludf.DUMMYFUNCTION("""COMPUTED_VALUE"""),"2013 Q2")</f>
        <v>2013 Q2</v>
      </c>
      <c r="K214" s="64"/>
      <c r="L214" s="64"/>
      <c r="M214" s="64">
        <f>IFERROR(__xludf.DUMMYFUNCTION("""COMPUTED_VALUE"""),5162.0)</f>
        <v>5162</v>
      </c>
      <c r="N214" s="65">
        <f t="shared" si="11"/>
        <v>5162</v>
      </c>
      <c r="O214" s="56"/>
      <c r="P214" s="56"/>
      <c r="Q214" s="56"/>
      <c r="R214" s="56"/>
      <c r="S214" s="56"/>
    </row>
    <row r="215" hidden="1">
      <c r="A215" s="55"/>
      <c r="B215" s="55"/>
      <c r="C215" s="55"/>
      <c r="D215" s="55"/>
      <c r="E215" s="55"/>
      <c r="F215" s="55"/>
      <c r="G215" s="55"/>
      <c r="H215" s="55"/>
      <c r="I215" s="55"/>
      <c r="J215" s="70" t="str">
        <f>IFERROR(__xludf.DUMMYFUNCTION("""COMPUTED_VALUE"""),"2013 Q3")</f>
        <v>2013 Q3</v>
      </c>
      <c r="K215" s="64"/>
      <c r="L215" s="64">
        <f>IFERROR(__xludf.DUMMYFUNCTION("""COMPUTED_VALUE"""),1224.0)</f>
        <v>1224</v>
      </c>
      <c r="M215" s="64">
        <f>IFERROR(__xludf.DUMMYFUNCTION("""COMPUTED_VALUE"""),4288.0)</f>
        <v>4288</v>
      </c>
      <c r="N215" s="65">
        <f t="shared" si="11"/>
        <v>5512</v>
      </c>
      <c r="O215" s="56"/>
      <c r="P215" s="56"/>
      <c r="Q215" s="56"/>
      <c r="R215" s="56"/>
      <c r="S215" s="56"/>
    </row>
    <row r="216" hidden="1">
      <c r="A216" s="55"/>
      <c r="B216" s="55"/>
      <c r="C216" s="55"/>
      <c r="D216" s="55"/>
      <c r="E216" s="55"/>
      <c r="F216" s="55"/>
      <c r="G216" s="55"/>
      <c r="H216" s="55"/>
      <c r="I216" s="55"/>
      <c r="J216" s="70" t="str">
        <f>IFERROR(__xludf.DUMMYFUNCTION("""COMPUTED_VALUE"""),"2013 Q4")</f>
        <v>2013 Q4</v>
      </c>
      <c r="K216" s="64"/>
      <c r="L216" s="64">
        <f>IFERROR(__xludf.DUMMYFUNCTION("""COMPUTED_VALUE"""),2669.0)</f>
        <v>2669</v>
      </c>
      <c r="M216" s="64">
        <f>IFERROR(__xludf.DUMMYFUNCTION("""COMPUTED_VALUE"""),4223.0)</f>
        <v>4223</v>
      </c>
      <c r="N216" s="65">
        <f t="shared" si="11"/>
        <v>6892</v>
      </c>
      <c r="O216" s="56"/>
      <c r="P216" s="56"/>
      <c r="Q216" s="56"/>
      <c r="R216" s="56"/>
      <c r="S216" s="56"/>
    </row>
    <row r="217" hidden="1">
      <c r="A217" s="55"/>
      <c r="B217" s="55"/>
      <c r="C217" s="55"/>
      <c r="D217" s="55"/>
      <c r="E217" s="55"/>
      <c r="F217" s="55"/>
      <c r="G217" s="55"/>
      <c r="H217" s="55"/>
      <c r="I217" s="55"/>
      <c r="J217" s="70" t="str">
        <f>IFERROR(__xludf.DUMMYFUNCTION("""COMPUTED_VALUE"""),"2014 Q1")</f>
        <v>2014 Q1</v>
      </c>
      <c r="K217" s="64">
        <f>IFERROR(__xludf.DUMMYFUNCTION("""COMPUTED_VALUE"""),3.0)</f>
        <v>3</v>
      </c>
      <c r="L217" s="64">
        <f>IFERROR(__xludf.DUMMYFUNCTION("""COMPUTED_VALUE"""),3073.0)</f>
        <v>3073</v>
      </c>
      <c r="M217" s="64">
        <f>IFERROR(__xludf.DUMMYFUNCTION("""COMPUTED_VALUE"""),3381.0)</f>
        <v>3381</v>
      </c>
      <c r="N217" s="65">
        <f t="shared" si="11"/>
        <v>6457</v>
      </c>
      <c r="O217" s="56"/>
      <c r="P217" s="56"/>
      <c r="Q217" s="56"/>
      <c r="R217" s="56"/>
      <c r="S217" s="56"/>
    </row>
    <row r="218" hidden="1">
      <c r="A218" s="55"/>
      <c r="B218" s="55"/>
      <c r="C218" s="55"/>
      <c r="D218" s="55"/>
      <c r="E218" s="55"/>
      <c r="F218" s="55"/>
      <c r="G218" s="55"/>
      <c r="H218" s="55"/>
      <c r="I218" s="55"/>
      <c r="J218" s="70" t="str">
        <f>IFERROR(__xludf.DUMMYFUNCTION("""COMPUTED_VALUE"""),"2014 Q2")</f>
        <v>2014 Q2</v>
      </c>
      <c r="K218" s="64">
        <f>IFERROR(__xludf.DUMMYFUNCTION("""COMPUTED_VALUE"""),1543.0)</f>
        <v>1543</v>
      </c>
      <c r="L218" s="64">
        <f>IFERROR(__xludf.DUMMYFUNCTION("""COMPUTED_VALUE"""),2519.0)</f>
        <v>2519</v>
      </c>
      <c r="M218" s="64">
        <f>IFERROR(__xludf.DUMMYFUNCTION("""COMPUTED_VALUE"""),3517.0)</f>
        <v>3517</v>
      </c>
      <c r="N218" s="65">
        <f t="shared" si="11"/>
        <v>7579</v>
      </c>
      <c r="O218" s="56"/>
      <c r="P218" s="56"/>
      <c r="Q218" s="56"/>
      <c r="R218" s="56"/>
      <c r="S218" s="56"/>
    </row>
    <row r="219" hidden="1">
      <c r="A219" s="55"/>
      <c r="B219" s="55"/>
      <c r="C219" s="55"/>
      <c r="D219" s="55"/>
      <c r="E219" s="55"/>
      <c r="F219" s="55"/>
      <c r="G219" s="55"/>
      <c r="H219" s="55"/>
      <c r="I219" s="55"/>
      <c r="J219" s="70" t="str">
        <f>IFERROR(__xludf.DUMMYFUNCTION("""COMPUTED_VALUE"""),"2014 Q3")</f>
        <v>2014 Q3</v>
      </c>
      <c r="K219" s="64">
        <f>IFERROR(__xludf.DUMMYFUNCTION("""COMPUTED_VALUE"""),1188.0)</f>
        <v>1188</v>
      </c>
      <c r="L219" s="64">
        <f>IFERROR(__xludf.DUMMYFUNCTION("""COMPUTED_VALUE"""),1653.0)</f>
        <v>1653</v>
      </c>
      <c r="M219" s="64">
        <f>IFERROR(__xludf.DUMMYFUNCTION("""COMPUTED_VALUE"""),4944.0)</f>
        <v>4944</v>
      </c>
      <c r="N219" s="65">
        <f t="shared" si="11"/>
        <v>7785</v>
      </c>
      <c r="O219" s="56"/>
      <c r="P219" s="56"/>
      <c r="Q219" s="56"/>
      <c r="R219" s="56"/>
      <c r="S219" s="56"/>
    </row>
    <row r="220" hidden="1">
      <c r="A220" s="55"/>
      <c r="B220" s="55"/>
      <c r="C220" s="55"/>
      <c r="D220" s="55"/>
      <c r="E220" s="55"/>
      <c r="F220" s="55"/>
      <c r="G220" s="55"/>
      <c r="H220" s="55"/>
      <c r="I220" s="55"/>
      <c r="J220" s="70" t="str">
        <f>IFERROR(__xludf.DUMMYFUNCTION("""COMPUTED_VALUE"""),"2014 Q4")</f>
        <v>2014 Q4</v>
      </c>
      <c r="K220" s="64">
        <f>IFERROR(__xludf.DUMMYFUNCTION("""COMPUTED_VALUE"""),1927.0)</f>
        <v>1927</v>
      </c>
      <c r="L220" s="64">
        <f>IFERROR(__xludf.DUMMYFUNCTION("""COMPUTED_VALUE"""),2276.0)</f>
        <v>2276</v>
      </c>
      <c r="M220" s="64">
        <f>IFERROR(__xludf.DUMMYFUNCTION("""COMPUTED_VALUE"""),5631.0)</f>
        <v>5631</v>
      </c>
      <c r="N220" s="65">
        <f t="shared" si="11"/>
        <v>9834</v>
      </c>
      <c r="O220" s="56"/>
      <c r="P220" s="56"/>
      <c r="Q220" s="56"/>
      <c r="R220" s="56"/>
      <c r="S220" s="56"/>
    </row>
    <row r="221" hidden="1">
      <c r="A221" s="55"/>
      <c r="B221" s="55"/>
      <c r="C221" s="55"/>
      <c r="D221" s="55"/>
      <c r="E221" s="55"/>
      <c r="F221" s="55"/>
      <c r="G221" s="55"/>
      <c r="H221" s="55"/>
      <c r="I221" s="55"/>
      <c r="J221" s="70" t="str">
        <f>IFERROR(__xludf.DUMMYFUNCTION("""COMPUTED_VALUE"""),"2015 Q1")</f>
        <v>2015 Q1</v>
      </c>
      <c r="K221" s="64">
        <f>IFERROR(__xludf.DUMMYFUNCTION("""COMPUTED_VALUE"""),1665.0)</f>
        <v>1665</v>
      </c>
      <c r="L221" s="64">
        <f>IFERROR(__xludf.DUMMYFUNCTION("""COMPUTED_VALUE"""),3465.0)</f>
        <v>3465</v>
      </c>
      <c r="M221" s="64">
        <f>IFERROR(__xludf.DUMMYFUNCTION("""COMPUTED_VALUE"""),4915.0)</f>
        <v>4915</v>
      </c>
      <c r="N221" s="65">
        <f t="shared" si="11"/>
        <v>10045</v>
      </c>
      <c r="O221" s="56"/>
      <c r="P221" s="56"/>
      <c r="Q221" s="56"/>
      <c r="R221" s="56"/>
      <c r="S221" s="56"/>
    </row>
    <row r="222" hidden="1">
      <c r="A222" s="55"/>
      <c r="B222" s="55"/>
      <c r="C222" s="55"/>
      <c r="D222" s="55"/>
      <c r="E222" s="55"/>
      <c r="F222" s="55"/>
      <c r="G222" s="55"/>
      <c r="H222" s="55"/>
      <c r="I222" s="55"/>
      <c r="J222" s="70" t="str">
        <f>IFERROR(__xludf.DUMMYFUNCTION("""COMPUTED_VALUE"""),"2015 Q2")</f>
        <v>2015 Q2</v>
      </c>
      <c r="K222" s="64">
        <f>IFERROR(__xludf.DUMMYFUNCTION("""COMPUTED_VALUE"""),1236.0)</f>
        <v>1236</v>
      </c>
      <c r="L222" s="64">
        <f>IFERROR(__xludf.DUMMYFUNCTION("""COMPUTED_VALUE"""),3891.0)</f>
        <v>3891</v>
      </c>
      <c r="M222" s="64">
        <f>IFERROR(__xludf.DUMMYFUNCTION("""COMPUTED_VALUE"""),6405.0)</f>
        <v>6405</v>
      </c>
      <c r="N222" s="65">
        <f t="shared" si="11"/>
        <v>11532</v>
      </c>
      <c r="O222" s="56"/>
      <c r="P222" s="56"/>
      <c r="Q222" s="56"/>
      <c r="R222" s="56"/>
      <c r="S222" s="56"/>
    </row>
    <row r="223" hidden="1">
      <c r="A223" s="55"/>
      <c r="B223" s="55"/>
      <c r="C223" s="55"/>
      <c r="D223" s="55"/>
      <c r="E223" s="55"/>
      <c r="F223" s="55"/>
      <c r="G223" s="55"/>
      <c r="H223" s="55"/>
      <c r="I223" s="55"/>
      <c r="J223" s="70" t="str">
        <f>IFERROR(__xludf.DUMMYFUNCTION("""COMPUTED_VALUE"""),"2015 Q3")</f>
        <v>2015 Q3</v>
      </c>
      <c r="K223" s="64">
        <f>IFERROR(__xludf.DUMMYFUNCTION("""COMPUTED_VALUE"""),1635.0)</f>
        <v>1635</v>
      </c>
      <c r="L223" s="64">
        <f>IFERROR(__xludf.DUMMYFUNCTION("""COMPUTED_VALUE"""),3520.0)</f>
        <v>3520</v>
      </c>
      <c r="M223" s="64">
        <f>IFERROR(__xludf.DUMMYFUNCTION("""COMPUTED_VALUE"""),6448.0)</f>
        <v>6448</v>
      </c>
      <c r="N223" s="65">
        <f t="shared" si="11"/>
        <v>11603</v>
      </c>
      <c r="O223" s="56"/>
      <c r="P223" s="56"/>
      <c r="Q223" s="56"/>
      <c r="R223" s="56"/>
      <c r="S223" s="56"/>
    </row>
    <row r="224" hidden="1">
      <c r="A224" s="55"/>
      <c r="B224" s="55"/>
      <c r="C224" s="55"/>
      <c r="D224" s="55"/>
      <c r="E224" s="55"/>
      <c r="F224" s="55"/>
      <c r="G224" s="55"/>
      <c r="H224" s="55"/>
      <c r="I224" s="55"/>
      <c r="J224" s="70" t="str">
        <f>IFERROR(__xludf.DUMMYFUNCTION("""COMPUTED_VALUE"""),"2015 Q4")</f>
        <v>2015 Q4</v>
      </c>
      <c r="K224" s="64">
        <f>IFERROR(__xludf.DUMMYFUNCTION("""COMPUTED_VALUE"""),2619.0)</f>
        <v>2619</v>
      </c>
      <c r="L224" s="64">
        <f>IFERROR(__xludf.DUMMYFUNCTION("""COMPUTED_VALUE"""),5825.0)</f>
        <v>5825</v>
      </c>
      <c r="M224" s="64">
        <f>IFERROR(__xludf.DUMMYFUNCTION("""COMPUTED_VALUE"""),9034.0)</f>
        <v>9034</v>
      </c>
      <c r="N224" s="65">
        <f t="shared" si="11"/>
        <v>17478</v>
      </c>
      <c r="O224" s="56"/>
      <c r="P224" s="56"/>
      <c r="Q224" s="56"/>
      <c r="R224" s="56"/>
      <c r="S224" s="56"/>
    </row>
    <row r="225" hidden="1">
      <c r="A225" s="55"/>
      <c r="B225" s="55"/>
      <c r="C225" s="55"/>
      <c r="D225" s="55"/>
      <c r="E225" s="55"/>
      <c r="F225" s="55"/>
      <c r="G225" s="55"/>
      <c r="H225" s="55"/>
      <c r="I225" s="55"/>
      <c r="J225" s="70" t="str">
        <f>IFERROR(__xludf.DUMMYFUNCTION("""COMPUTED_VALUE"""),"2016 Q1")</f>
        <v>2016 Q1</v>
      </c>
      <c r="K225" s="64">
        <f>IFERROR(__xludf.DUMMYFUNCTION("""COMPUTED_VALUE"""),2511.0)</f>
        <v>2511</v>
      </c>
      <c r="L225" s="64">
        <f>IFERROR(__xludf.DUMMYFUNCTION("""COMPUTED_VALUE"""),3849.0)</f>
        <v>3849</v>
      </c>
      <c r="M225" s="64">
        <f>IFERROR(__xludf.DUMMYFUNCTION("""COMPUTED_VALUE"""),8450.0)</f>
        <v>8450</v>
      </c>
      <c r="N225" s="65">
        <f t="shared" si="11"/>
        <v>14810</v>
      </c>
      <c r="O225" s="56"/>
      <c r="P225" s="56"/>
      <c r="Q225" s="56"/>
      <c r="R225" s="56"/>
      <c r="S225" s="56"/>
    </row>
    <row r="226" hidden="1">
      <c r="A226" s="55"/>
      <c r="B226" s="55"/>
      <c r="C226" s="55"/>
      <c r="D226" s="55"/>
      <c r="E226" s="55"/>
      <c r="F226" s="55"/>
      <c r="G226" s="55"/>
      <c r="H226" s="55"/>
      <c r="I226" s="55"/>
      <c r="J226" s="70" t="str">
        <f>IFERROR(__xludf.DUMMYFUNCTION("""COMPUTED_VALUE"""),"2016 Q2")</f>
        <v>2016 Q2</v>
      </c>
      <c r="K226" s="64">
        <f>IFERROR(__xludf.DUMMYFUNCTION("""COMPUTED_VALUE"""),1346.0)</f>
        <v>1346</v>
      </c>
      <c r="L226" s="64">
        <f>IFERROR(__xludf.DUMMYFUNCTION("""COMPUTED_VALUE"""),2980.0)</f>
        <v>2980</v>
      </c>
      <c r="M226" s="64">
        <f>IFERROR(__xludf.DUMMYFUNCTION("""COMPUTED_VALUE"""),10076.0)</f>
        <v>10076</v>
      </c>
      <c r="N226" s="65">
        <f t="shared" si="11"/>
        <v>14402</v>
      </c>
      <c r="O226" s="56"/>
      <c r="P226" s="56"/>
      <c r="Q226" s="56"/>
      <c r="R226" s="56"/>
      <c r="S226" s="56"/>
    </row>
    <row r="227" hidden="1">
      <c r="A227" s="55"/>
      <c r="B227" s="55"/>
      <c r="C227" s="55"/>
      <c r="D227" s="55"/>
      <c r="E227" s="55"/>
      <c r="F227" s="55"/>
      <c r="G227" s="55"/>
      <c r="H227" s="55"/>
      <c r="I227" s="55"/>
      <c r="J227" s="70" t="str">
        <f>IFERROR(__xludf.DUMMYFUNCTION("""COMPUTED_VALUE"""),"2016 Q3")</f>
        <v>2016 Q3</v>
      </c>
      <c r="K227" s="64">
        <f>IFERROR(__xludf.DUMMYFUNCTION("""COMPUTED_VALUE"""),4589.0)</f>
        <v>4589</v>
      </c>
      <c r="L227" s="64">
        <f>IFERROR(__xludf.DUMMYFUNCTION("""COMPUTED_VALUE"""),5001.0)</f>
        <v>5001</v>
      </c>
      <c r="M227" s="64">
        <f>IFERROR(__xludf.DUMMYFUNCTION("""COMPUTED_VALUE"""),15231.0)</f>
        <v>15231</v>
      </c>
      <c r="N227" s="65">
        <f t="shared" si="11"/>
        <v>24821</v>
      </c>
      <c r="O227" s="56"/>
      <c r="P227" s="56"/>
      <c r="Q227" s="56"/>
      <c r="R227" s="56"/>
      <c r="S227" s="56"/>
    </row>
    <row r="228" hidden="1">
      <c r="A228" s="55"/>
      <c r="B228" s="55"/>
      <c r="C228" s="55"/>
      <c r="D228" s="55"/>
      <c r="E228" s="55"/>
      <c r="F228" s="55"/>
      <c r="G228" s="55"/>
      <c r="H228" s="55"/>
      <c r="I228" s="55"/>
      <c r="J228" s="70" t="str">
        <f>IFERROR(__xludf.DUMMYFUNCTION("""COMPUTED_VALUE"""),"2016 Q4")</f>
        <v>2016 Q4</v>
      </c>
      <c r="K228" s="64">
        <f>IFERROR(__xludf.DUMMYFUNCTION("""COMPUTED_VALUE"""),3591.0)</f>
        <v>3591</v>
      </c>
      <c r="L228" s="64">
        <f>IFERROR(__xludf.DUMMYFUNCTION("""COMPUTED_VALUE"""),4400.0)</f>
        <v>4400</v>
      </c>
      <c r="M228" s="64">
        <f>IFERROR(__xludf.DUMMYFUNCTION("""COMPUTED_VALUE"""),14261.0)</f>
        <v>14261</v>
      </c>
      <c r="N228" s="65">
        <f t="shared" si="11"/>
        <v>22252</v>
      </c>
      <c r="O228" s="56"/>
      <c r="P228" s="56"/>
      <c r="Q228" s="56"/>
      <c r="R228" s="56"/>
      <c r="S228" s="56"/>
    </row>
    <row r="229" hidden="1">
      <c r="A229" s="55"/>
      <c r="B229" s="55"/>
      <c r="C229" s="55"/>
      <c r="D229" s="55"/>
      <c r="E229" s="55"/>
      <c r="F229" s="55"/>
      <c r="G229" s="55"/>
      <c r="H229" s="55"/>
      <c r="I229" s="55"/>
      <c r="J229" s="70" t="str">
        <f>IFERROR(__xludf.DUMMYFUNCTION("""COMPUTED_VALUE"""),"2017 Q1")</f>
        <v>2017 Q1</v>
      </c>
      <c r="K229" s="64">
        <f>IFERROR(__xludf.DUMMYFUNCTION("""COMPUTED_VALUE"""),6693.0)</f>
        <v>6693</v>
      </c>
      <c r="L229" s="64">
        <f>IFERROR(__xludf.DUMMYFUNCTION("""COMPUTED_VALUE"""),6689.0)</f>
        <v>6689</v>
      </c>
      <c r="M229" s="64">
        <f>IFERROR(__xludf.DUMMYFUNCTION("""COMPUTED_VALUE"""),11669.0)</f>
        <v>11669</v>
      </c>
      <c r="N229" s="65">
        <f t="shared" si="11"/>
        <v>25051</v>
      </c>
      <c r="O229" s="56"/>
      <c r="P229" s="56"/>
      <c r="Q229" s="56"/>
      <c r="R229" s="56"/>
      <c r="S229" s="56"/>
    </row>
    <row r="230" hidden="1">
      <c r="A230" s="55"/>
      <c r="B230" s="55"/>
      <c r="C230" s="55"/>
      <c r="D230" s="55"/>
      <c r="E230" s="55"/>
      <c r="F230" s="55"/>
      <c r="G230" s="55"/>
      <c r="H230" s="55"/>
      <c r="I230" s="55"/>
      <c r="J230" s="70" t="str">
        <f>IFERROR(__xludf.DUMMYFUNCTION("""COMPUTED_VALUE"""),"2017 Q2")</f>
        <v>2017 Q2</v>
      </c>
      <c r="K230" s="64">
        <f>IFERROR(__xludf.DUMMYFUNCTION("""COMPUTED_VALUE"""),4832.0)</f>
        <v>4832</v>
      </c>
      <c r="L230" s="64">
        <f>IFERROR(__xludf.DUMMYFUNCTION("""COMPUTED_VALUE"""),5541.0)</f>
        <v>5541</v>
      </c>
      <c r="M230" s="64">
        <f>IFERROR(__xludf.DUMMYFUNCTION("""COMPUTED_VALUE"""),11653.0)</f>
        <v>11653</v>
      </c>
      <c r="N230" s="65">
        <f t="shared" si="11"/>
        <v>22026</v>
      </c>
      <c r="O230" s="56"/>
      <c r="P230" s="56"/>
      <c r="Q230" s="56"/>
      <c r="R230" s="56"/>
      <c r="S230" s="56"/>
    </row>
    <row r="231" hidden="1">
      <c r="A231" s="55"/>
      <c r="B231" s="55"/>
      <c r="C231" s="55"/>
      <c r="D231" s="55"/>
      <c r="E231" s="55"/>
      <c r="F231" s="55"/>
      <c r="G231" s="55"/>
      <c r="H231" s="55"/>
      <c r="I231" s="55"/>
      <c r="J231" s="70" t="str">
        <f>IFERROR(__xludf.DUMMYFUNCTION("""COMPUTED_VALUE"""),"2017 Q3")</f>
        <v>2017 Q3</v>
      </c>
      <c r="K231" s="64">
        <f>IFERROR(__xludf.DUMMYFUNCTION("""COMPUTED_VALUE"""),5885.0)</f>
        <v>5885</v>
      </c>
      <c r="L231" s="64">
        <f>IFERROR(__xludf.DUMMYFUNCTION("""COMPUTED_VALUE"""),7105.0)</f>
        <v>7105</v>
      </c>
      <c r="M231" s="64">
        <f>IFERROR(__xludf.DUMMYFUNCTION("""COMPUTED_VALUE"""),13147.0)</f>
        <v>13147</v>
      </c>
      <c r="N231" s="65">
        <f t="shared" si="11"/>
        <v>26137</v>
      </c>
      <c r="O231" s="56"/>
      <c r="P231" s="56"/>
      <c r="Q231" s="56"/>
      <c r="R231" s="56"/>
      <c r="S231" s="56"/>
    </row>
    <row r="232" hidden="1">
      <c r="A232" s="55"/>
      <c r="B232" s="55"/>
      <c r="C232" s="55"/>
      <c r="D232" s="55"/>
      <c r="E232" s="55"/>
      <c r="F232" s="55"/>
      <c r="G232" s="55"/>
      <c r="H232" s="55"/>
      <c r="I232" s="55"/>
      <c r="J232" s="70" t="str">
        <f>IFERROR(__xludf.DUMMYFUNCTION("""COMPUTED_VALUE"""),"2017 Q4")</f>
        <v>2017 Q4</v>
      </c>
      <c r="K232" s="64">
        <f>IFERROR(__xludf.DUMMYFUNCTION("""COMPUTED_VALUE"""),4742.0)</f>
        <v>4742</v>
      </c>
      <c r="L232" s="64">
        <f>IFERROR(__xludf.DUMMYFUNCTION("""COMPUTED_VALUE"""),8944.0)</f>
        <v>8944</v>
      </c>
      <c r="M232" s="64">
        <f>IFERROR(__xludf.DUMMYFUNCTION("""COMPUTED_VALUE"""),16281.0)</f>
        <v>16281</v>
      </c>
      <c r="N232" s="65">
        <f t="shared" si="11"/>
        <v>29967</v>
      </c>
      <c r="O232" s="56"/>
      <c r="P232" s="56"/>
      <c r="Q232" s="56"/>
      <c r="R232" s="56"/>
      <c r="S232" s="56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70" t="str">
        <f>IFERROR(__xludf.DUMMYFUNCTION("""COMPUTED_VALUE"""),"2018 Q1")</f>
        <v>2018 Q1</v>
      </c>
      <c r="K233" s="64">
        <f>IFERROR(__xludf.DUMMYFUNCTION("""COMPUTED_VALUE"""),4979.0)</f>
        <v>4979</v>
      </c>
      <c r="L233" s="64">
        <f>IFERROR(__xludf.DUMMYFUNCTION("""COMPUTED_VALUE"""),6124.0)</f>
        <v>6124</v>
      </c>
      <c r="M233" s="64">
        <f>IFERROR(__xludf.DUMMYFUNCTION("""COMPUTED_VALUE"""),18894.0)</f>
        <v>18894</v>
      </c>
      <c r="N233" s="65">
        <f t="shared" si="11"/>
        <v>29997</v>
      </c>
      <c r="O233" s="71" t="s">
        <v>94</v>
      </c>
      <c r="Q233" s="56"/>
      <c r="R233" s="56"/>
      <c r="S233" s="56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70" t="str">
        <f>IFERROR(__xludf.DUMMYFUNCTION("""COMPUTED_VALUE"""),"2018 Q2")</f>
        <v>2018 Q2</v>
      </c>
      <c r="K234" s="64">
        <f>IFERROR(__xludf.DUMMYFUNCTION("""COMPUTED_VALUE"""),6051.0)</f>
        <v>6051</v>
      </c>
      <c r="L234" s="64">
        <f>IFERROR(__xludf.DUMMYFUNCTION("""COMPUTED_VALUE"""),7197.0)</f>
        <v>7197</v>
      </c>
      <c r="M234" s="64">
        <f>IFERROR(__xludf.DUMMYFUNCTION("""COMPUTED_VALUE"""),27520.0)</f>
        <v>27520</v>
      </c>
      <c r="N234" s="65">
        <f t="shared" si="11"/>
        <v>40768</v>
      </c>
      <c r="O234" s="56"/>
      <c r="P234" s="56"/>
      <c r="Q234" s="56"/>
      <c r="R234" s="56"/>
      <c r="S234" s="56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70" t="str">
        <f>IFERROR(__xludf.DUMMYFUNCTION("""COMPUTED_VALUE"""),"2018 Q3")</f>
        <v>2018 Q3</v>
      </c>
      <c r="K235" s="64">
        <f>IFERROR(__xludf.DUMMYFUNCTION("""COMPUTED_VALUE"""),3729.0)</f>
        <v>3729</v>
      </c>
      <c r="L235" s="64">
        <f>IFERROR(__xludf.DUMMYFUNCTION("""COMPUTED_VALUE"""),7777.0)</f>
        <v>7777</v>
      </c>
      <c r="M235" s="64">
        <f>IFERROR(__xludf.DUMMYFUNCTION("""COMPUTED_VALUE"""),72269.0)</f>
        <v>72269</v>
      </c>
      <c r="N235" s="65">
        <f t="shared" si="11"/>
        <v>83775</v>
      </c>
      <c r="O235" s="56"/>
      <c r="P235" s="56"/>
      <c r="Q235" s="56"/>
      <c r="R235" s="56"/>
      <c r="S235" s="56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72" t="str">
        <f>IFERROR(__xludf.DUMMYFUNCTION("""COMPUTED_VALUE"""),"2018 Q4")</f>
        <v>2018 Q4</v>
      </c>
      <c r="K236" s="73">
        <f>IFERROR(__xludf.DUMMYFUNCTION("""COMPUTED_VALUE"""),3649.0)</f>
        <v>3649</v>
      </c>
      <c r="L236" s="73">
        <f>IFERROR(__xludf.DUMMYFUNCTION("""COMPUTED_VALUE"""),8159.0)</f>
        <v>8159</v>
      </c>
      <c r="M236" s="73">
        <f>IFERROR(__xludf.DUMMYFUNCTION("""COMPUTED_VALUE"""),79158.0)</f>
        <v>79158</v>
      </c>
      <c r="N236" s="86">
        <f t="shared" si="11"/>
        <v>90966</v>
      </c>
      <c r="O236" s="56"/>
      <c r="P236" s="56"/>
      <c r="Q236" s="56"/>
      <c r="R236" s="56"/>
      <c r="S236" s="56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75" t="str">
        <f>IFERROR(__xludf.DUMMYFUNCTION("""COMPUTED_VALUE"""),"2019 Q1")</f>
        <v>2019 Q1</v>
      </c>
      <c r="K237" s="76">
        <f>IFERROR(__xludf.DUMMYFUNCTION("""COMPUTED_VALUE"""),7224.0)</f>
        <v>7224</v>
      </c>
      <c r="L237" s="76">
        <f>IFERROR(__xludf.DUMMYFUNCTION("""COMPUTED_VALUE"""),22762.0)</f>
        <v>22762</v>
      </c>
      <c r="M237" s="76">
        <f>IFERROR(__xludf.DUMMYFUNCTION("""COMPUTED_VALUE"""),33033.0)</f>
        <v>33033</v>
      </c>
      <c r="N237" s="87">
        <f t="shared" si="11"/>
        <v>63019</v>
      </c>
      <c r="O237" s="56"/>
      <c r="P237" s="56"/>
      <c r="Q237" s="56"/>
      <c r="R237" s="56"/>
      <c r="S237" s="56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70" t="str">
        <f>IFERROR(__xludf.DUMMYFUNCTION("""COMPUTED_VALUE"""),"2019 Q2")</f>
        <v>2019 Q2</v>
      </c>
      <c r="K238" s="64">
        <f>IFERROR(__xludf.DUMMYFUNCTION("""COMPUTED_VALUE"""),12590.0)</f>
        <v>12590</v>
      </c>
      <c r="L238" s="64">
        <f>IFERROR(__xludf.DUMMYFUNCTION("""COMPUTED_VALUE"""),22805.0)</f>
        <v>22805</v>
      </c>
      <c r="M238" s="64">
        <f>IFERROR(__xludf.DUMMYFUNCTION("""COMPUTED_VALUE"""),59961.0)</f>
        <v>59961</v>
      </c>
      <c r="N238" s="65">
        <f t="shared" si="11"/>
        <v>95356</v>
      </c>
      <c r="O238" s="56"/>
      <c r="P238" s="56"/>
      <c r="Q238" s="56"/>
      <c r="R238" s="56"/>
      <c r="S238" s="56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70" t="str">
        <f>IFERROR(__xludf.DUMMYFUNCTION("""COMPUTED_VALUE"""),"2019 Q3")</f>
        <v>2019 Q3</v>
      </c>
      <c r="K239" s="64">
        <f>IFERROR(__xludf.DUMMYFUNCTION("""COMPUTED_VALUE"""),14608.0)</f>
        <v>14608</v>
      </c>
      <c r="L239" s="64">
        <f>IFERROR(__xludf.DUMMYFUNCTION("""COMPUTED_VALUE"""),30081.0)</f>
        <v>30081</v>
      </c>
      <c r="M239" s="64">
        <f>IFERROR(__xludf.DUMMYFUNCTION("""COMPUTED_VALUE"""),52497.0)</f>
        <v>52497</v>
      </c>
      <c r="N239" s="65">
        <f t="shared" si="11"/>
        <v>97186</v>
      </c>
      <c r="O239" s="56"/>
      <c r="P239" s="56"/>
      <c r="Q239" s="56"/>
      <c r="R239" s="56"/>
      <c r="S239" s="56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79" t="str">
        <f>IFERROR(__xludf.DUMMYFUNCTION("""COMPUTED_VALUE"""),"2019 Q4")</f>
        <v>2019 Q4</v>
      </c>
      <c r="K240" s="80">
        <f>IFERROR(__xludf.DUMMYFUNCTION("""COMPUTED_VALUE"""),18836.0)</f>
        <v>18836</v>
      </c>
      <c r="L240" s="80">
        <f>IFERROR(__xludf.DUMMYFUNCTION("""COMPUTED_VALUE"""),35471.0)</f>
        <v>35471</v>
      </c>
      <c r="M240" s="80">
        <f>IFERROR(__xludf.DUMMYFUNCTION("""COMPUTED_VALUE"""),57788.0)</f>
        <v>57788</v>
      </c>
      <c r="N240" s="88">
        <f t="shared" si="11"/>
        <v>112095</v>
      </c>
      <c r="O240" s="56"/>
      <c r="P240" s="56"/>
      <c r="Q240" s="56"/>
      <c r="R240" s="56"/>
      <c r="S240" s="56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82" t="str">
        <f>IFERROR(__xludf.DUMMYFUNCTION("""COMPUTED_VALUE"""),"2020 Q1")</f>
        <v>2020 Q1</v>
      </c>
      <c r="K241" s="83">
        <f>IFERROR(__xludf.DUMMYFUNCTION("""COMPUTED_VALUE"""),27266.0)</f>
        <v>27266</v>
      </c>
      <c r="L241" s="83">
        <f>IFERROR(__xludf.DUMMYFUNCTION("""COMPUTED_VALUE"""),23782.0)</f>
        <v>23782</v>
      </c>
      <c r="M241" s="83">
        <f>IFERROR(__xludf.DUMMYFUNCTION("""COMPUTED_VALUE"""),37448.0)</f>
        <v>37448</v>
      </c>
      <c r="N241" s="89">
        <f t="shared" si="11"/>
        <v>88496</v>
      </c>
      <c r="O241" s="56"/>
      <c r="P241" s="56"/>
      <c r="Q241" s="56"/>
      <c r="R241" s="56"/>
      <c r="S241" s="56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70" t="str">
        <f>IFERROR(__xludf.DUMMYFUNCTION("""COMPUTED_VALUE"""),"2020 Q2")</f>
        <v>2020 Q2</v>
      </c>
      <c r="K242" s="64">
        <f>IFERROR(__xludf.DUMMYFUNCTION("""COMPUTED_VALUE"""),35464.0)</f>
        <v>35464</v>
      </c>
      <c r="L242" s="64">
        <f>IFERROR(__xludf.DUMMYFUNCTION("""COMPUTED_VALUE"""),13988.0)</f>
        <v>13988</v>
      </c>
      <c r="M242" s="64">
        <f>IFERROR(__xludf.DUMMYFUNCTION("""COMPUTED_VALUE"""),41439.0)</f>
        <v>41439</v>
      </c>
      <c r="N242" s="65">
        <f t="shared" si="11"/>
        <v>90891</v>
      </c>
      <c r="O242" s="56"/>
      <c r="P242" s="56"/>
      <c r="Q242" s="56"/>
      <c r="R242" s="56"/>
      <c r="S242" s="56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70" t="str">
        <f>IFERROR(__xludf.DUMMYFUNCTION("""COMPUTED_VALUE"""),"2020 Q3")</f>
        <v>2020 Q3</v>
      </c>
      <c r="K243" s="64">
        <f>IFERROR(__xludf.DUMMYFUNCTION("""COMPUTED_VALUE"""),45118.0)</f>
        <v>45118</v>
      </c>
      <c r="L243" s="64">
        <f>IFERROR(__xludf.DUMMYFUNCTION("""COMPUTED_VALUE"""),27306.0)</f>
        <v>27306</v>
      </c>
      <c r="M243" s="64">
        <f>IFERROR(__xludf.DUMMYFUNCTION("""COMPUTED_VALUE"""),67169.0)</f>
        <v>67169</v>
      </c>
      <c r="N243" s="65">
        <f t="shared" si="11"/>
        <v>139593</v>
      </c>
      <c r="O243" s="56"/>
      <c r="P243" s="56"/>
      <c r="Q243" s="56"/>
      <c r="R243" s="56"/>
      <c r="S243" s="56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72" t="str">
        <f>IFERROR(__xludf.DUMMYFUNCTION("""COMPUTED_VALUE"""),"2020 Q4")</f>
        <v>2020 Q4</v>
      </c>
      <c r="K244" s="73">
        <f>IFERROR(__xludf.DUMMYFUNCTION("""COMPUTED_VALUE"""),65811.0)</f>
        <v>65811</v>
      </c>
      <c r="L244" s="73">
        <f>IFERROR(__xludf.DUMMYFUNCTION("""COMPUTED_VALUE"""),34110.0)</f>
        <v>34110</v>
      </c>
      <c r="M244" s="73">
        <f>IFERROR(__xludf.DUMMYFUNCTION("""COMPUTED_VALUE"""),80746.0)</f>
        <v>80746</v>
      </c>
      <c r="N244" s="86">
        <f t="shared" si="11"/>
        <v>180667</v>
      </c>
      <c r="O244" s="56"/>
      <c r="P244" s="56"/>
      <c r="Q244" s="56"/>
      <c r="R244" s="56"/>
      <c r="S244" s="56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75" t="str">
        <f>IFERROR(__xludf.DUMMYFUNCTION("""COMPUTED_VALUE"""),"2021 Q1")</f>
        <v>2021 Q1</v>
      </c>
      <c r="K245" s="76">
        <f>IFERROR(__xludf.DUMMYFUNCTION("""COMPUTED_VALUE"""),78934.0)</f>
        <v>78934</v>
      </c>
      <c r="L245" s="76">
        <f>IFERROR(__xludf.DUMMYFUNCTION("""COMPUTED_VALUE"""),31530.0)</f>
        <v>31530</v>
      </c>
      <c r="M245" s="76">
        <f>IFERROR(__xludf.DUMMYFUNCTION("""COMPUTED_VALUE"""),74413.0)</f>
        <v>74413</v>
      </c>
      <c r="N245" s="87">
        <f t="shared" si="11"/>
        <v>184877</v>
      </c>
      <c r="O245" s="56"/>
      <c r="P245" s="56"/>
      <c r="Q245" s="56"/>
      <c r="R245" s="56"/>
      <c r="S245" s="56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70" t="str">
        <f>IFERROR(__xludf.DUMMYFUNCTION("""COMPUTED_VALUE"""),"2021 Q2")</f>
        <v>2021 Q2</v>
      </c>
      <c r="K246" s="64">
        <f>IFERROR(__xludf.DUMMYFUNCTION("""COMPUTED_VALUE"""),81093.0)</f>
        <v>81093</v>
      </c>
      <c r="L246" s="64">
        <f>IFERROR(__xludf.DUMMYFUNCTION("""COMPUTED_VALUE"""),36480.0)</f>
        <v>36480</v>
      </c>
      <c r="M246" s="64">
        <f>IFERROR(__xludf.DUMMYFUNCTION("""COMPUTED_VALUE"""),83731.0)</f>
        <v>83731</v>
      </c>
      <c r="N246" s="65">
        <f t="shared" si="11"/>
        <v>201304</v>
      </c>
      <c r="O246" s="56"/>
      <c r="P246" s="56"/>
      <c r="Q246" s="56"/>
      <c r="R246" s="56"/>
      <c r="S246" s="56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70" t="str">
        <f>IFERROR(__xludf.DUMMYFUNCTION("""COMPUTED_VALUE"""),"2021 Q3")</f>
        <v>2021 Q3</v>
      </c>
      <c r="K247" s="64">
        <f>IFERROR(__xludf.DUMMYFUNCTION("""COMPUTED_VALUE"""),90615.0)</f>
        <v>90615</v>
      </c>
      <c r="L247" s="64">
        <f>IFERROR(__xludf.DUMMYFUNCTION("""COMPUTED_VALUE"""),46344.0)</f>
        <v>46344</v>
      </c>
      <c r="M247" s="64">
        <f>IFERROR(__xludf.DUMMYFUNCTION("""COMPUTED_VALUE"""),104432.0)</f>
        <v>104432</v>
      </c>
      <c r="N247" s="65">
        <f t="shared" si="11"/>
        <v>241391</v>
      </c>
      <c r="O247" s="56"/>
      <c r="P247" s="56"/>
      <c r="Q247" s="56"/>
      <c r="R247" s="56"/>
      <c r="S247" s="56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79" t="str">
        <f>IFERROR(__xludf.DUMMYFUNCTION("""COMPUTED_VALUE"""),"2021 Q4")</f>
        <v>2021 Q4</v>
      </c>
      <c r="K248" s="80">
        <f>IFERROR(__xludf.DUMMYFUNCTION("""COMPUTED_VALUE"""),129855.0)</f>
        <v>129855</v>
      </c>
      <c r="L248" s="80">
        <f>IFERROR(__xludf.DUMMYFUNCTION("""COMPUTED_VALUE"""),54997.0)</f>
        <v>54997</v>
      </c>
      <c r="M248" s="80">
        <f>IFERROR(__xludf.DUMMYFUNCTION("""COMPUTED_VALUE"""),123798.0)</f>
        <v>123798</v>
      </c>
      <c r="N248" s="88">
        <f t="shared" si="11"/>
        <v>308650</v>
      </c>
      <c r="O248" s="56"/>
      <c r="P248" s="56"/>
      <c r="Q248" s="56"/>
      <c r="R248" s="56"/>
      <c r="S248" s="56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82" t="str">
        <f>IFERROR(__xludf.DUMMYFUNCTION("""COMPUTED_VALUE"""),"2022 Q1")</f>
        <v>2022 Q1</v>
      </c>
      <c r="K249" s="83">
        <f>IFERROR(__xludf.DUMMYFUNCTION("""COMPUTED_VALUE"""),126555.0)</f>
        <v>126555</v>
      </c>
      <c r="L249" s="83">
        <f>IFERROR(__xludf.DUMMYFUNCTION("""COMPUTED_VALUE"""),59603.0)</f>
        <v>59603</v>
      </c>
      <c r="M249" s="83">
        <f>IFERROR(__xludf.DUMMYFUNCTION("""COMPUTED_VALUE"""),123890.0)</f>
        <v>123890</v>
      </c>
      <c r="N249" s="89">
        <f t="shared" si="11"/>
        <v>310048</v>
      </c>
      <c r="O249" s="56"/>
      <c r="P249" s="56"/>
      <c r="Q249" s="56"/>
      <c r="R249" s="56"/>
      <c r="S249" s="56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70" t="str">
        <f>IFERROR(__xludf.DUMMYFUNCTION("""COMPUTED_VALUE"""),"2022 Q2")</f>
        <v>2022 Q2</v>
      </c>
      <c r="K250" s="64">
        <f>IFERROR(__xludf.DUMMYFUNCTION("""COMPUTED_VALUE"""),100176.0)</f>
        <v>100176</v>
      </c>
      <c r="L250" s="64">
        <f>IFERROR(__xludf.DUMMYFUNCTION("""COMPUTED_VALUE"""),26220.0)</f>
        <v>26220</v>
      </c>
      <c r="M250" s="64">
        <f>IFERROR(__xludf.DUMMYFUNCTION("""COMPUTED_VALUE"""),128299.0)</f>
        <v>128299</v>
      </c>
      <c r="N250" s="65">
        <f t="shared" si="11"/>
        <v>254695</v>
      </c>
      <c r="O250" s="56"/>
      <c r="P250" s="56"/>
      <c r="Q250" s="56"/>
      <c r="R250" s="56"/>
      <c r="S250" s="56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70" t="str">
        <f>IFERROR(__xludf.DUMMYFUNCTION("""COMPUTED_VALUE"""),"2022 Q3")</f>
        <v>2022 Q3</v>
      </c>
      <c r="K251" s="64">
        <f>IFERROR(__xludf.DUMMYFUNCTION("""COMPUTED_VALUE"""),149050.0)</f>
        <v>149050</v>
      </c>
      <c r="L251" s="64">
        <f>IFERROR(__xludf.DUMMYFUNCTION("""COMPUTED_VALUE"""),54304.0)</f>
        <v>54304</v>
      </c>
      <c r="M251" s="64">
        <f>IFERROR(__xludf.DUMMYFUNCTION("""COMPUTED_VALUE"""),140476.0)</f>
        <v>140476</v>
      </c>
      <c r="N251" s="65">
        <f t="shared" si="11"/>
        <v>343830</v>
      </c>
      <c r="O251" s="56"/>
      <c r="P251" s="56"/>
      <c r="Q251" s="56"/>
      <c r="R251" s="56"/>
      <c r="S251" s="56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72" t="str">
        <f>IFERROR(__xludf.DUMMYFUNCTION("""COMPUTED_VALUE"""),"2022 Q4")</f>
        <v>2022 Q4</v>
      </c>
      <c r="K252" s="73">
        <f>IFERROR(__xludf.DUMMYFUNCTION("""COMPUTED_VALUE"""),148664.0)</f>
        <v>148664</v>
      </c>
      <c r="L252" s="73">
        <f>IFERROR(__xludf.DUMMYFUNCTION("""COMPUTED_VALUE"""),93837.0)</f>
        <v>93837</v>
      </c>
      <c r="M252" s="73">
        <f>IFERROR(__xludf.DUMMYFUNCTION("""COMPUTED_VALUE"""),162777.0)</f>
        <v>162777</v>
      </c>
      <c r="N252" s="86">
        <f t="shared" si="11"/>
        <v>405278</v>
      </c>
      <c r="O252" s="56"/>
      <c r="P252" s="56"/>
      <c r="Q252" s="56"/>
      <c r="R252" s="56"/>
      <c r="S252" s="56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75" t="str">
        <f>IFERROR(__xludf.DUMMYFUNCTION("""COMPUTED_VALUE"""),"2023 Q1")</f>
        <v>2023 Q1</v>
      </c>
      <c r="K253" s="76">
        <f>IFERROR(__xludf.DUMMYFUNCTION("""COMPUTED_VALUE"""),163813.0)</f>
        <v>163813</v>
      </c>
      <c r="L253" s="76">
        <f>IFERROR(__xludf.DUMMYFUNCTION("""COMPUTED_VALUE"""),94242.0)</f>
        <v>94242</v>
      </c>
      <c r="M253" s="76">
        <f>IFERROR(__xludf.DUMMYFUNCTION("""COMPUTED_VALUE"""),164820.0)</f>
        <v>164820</v>
      </c>
      <c r="N253" s="87">
        <f t="shared" si="11"/>
        <v>422875</v>
      </c>
      <c r="O253" s="56"/>
      <c r="P253" s="56"/>
      <c r="Q253" s="56"/>
      <c r="R253" s="56"/>
      <c r="S253" s="56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70" t="str">
        <f>IFERROR(__xludf.DUMMYFUNCTION("""COMPUTED_VALUE"""),"2023 Q2")</f>
        <v>2023 Q2</v>
      </c>
      <c r="K254" s="64">
        <f>IFERROR(__xludf.DUMMYFUNCTION("""COMPUTED_VALUE"""),193676.0)</f>
        <v>193676</v>
      </c>
      <c r="L254" s="64">
        <f>IFERROR(__xludf.DUMMYFUNCTION("""COMPUTED_VALUE"""),92196.0)</f>
        <v>92196</v>
      </c>
      <c r="M254" s="64">
        <f>IFERROR(__xludf.DUMMYFUNCTION("""COMPUTED_VALUE"""),180268.0)</f>
        <v>180268</v>
      </c>
      <c r="N254" s="65">
        <f t="shared" si="11"/>
        <v>466140</v>
      </c>
      <c r="O254" s="56"/>
      <c r="P254" s="56"/>
      <c r="Q254" s="56"/>
      <c r="R254" s="56"/>
      <c r="S254" s="56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70" t="str">
        <f>IFERROR(__xludf.DUMMYFUNCTION("""COMPUTED_VALUE"""),"2023 Q3")</f>
        <v>2023 Q3</v>
      </c>
      <c r="K255" s="64">
        <f>IFERROR(__xludf.DUMMYFUNCTION("""COMPUTED_VALUE"""),181071.0)</f>
        <v>181071</v>
      </c>
      <c r="L255" s="64">
        <f>IFERROR(__xludf.DUMMYFUNCTION("""COMPUTED_VALUE"""),85581.0)</f>
        <v>85581</v>
      </c>
      <c r="M255" s="64">
        <f>IFERROR(__xludf.DUMMYFUNCTION("""COMPUTED_VALUE"""),168407.0)</f>
        <v>168407</v>
      </c>
      <c r="N255" s="65">
        <f t="shared" si="11"/>
        <v>435059</v>
      </c>
      <c r="O255" s="56"/>
      <c r="P255" s="56"/>
      <c r="Q255" s="56"/>
      <c r="R255" s="56"/>
      <c r="S255" s="56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79" t="str">
        <f>IFERROR(__xludf.DUMMYFUNCTION("""COMPUTED_VALUE"""),"2023 Q4")</f>
        <v>2023 Q4</v>
      </c>
      <c r="K256" s="80">
        <f>IFERROR(__xludf.DUMMYFUNCTION("""COMPUTED_VALUE"""),204989.0)</f>
        <v>204989</v>
      </c>
      <c r="L256" s="80">
        <f>IFERROR(__xludf.DUMMYFUNCTION("""COMPUTED_VALUE"""),93152.0)</f>
        <v>93152</v>
      </c>
      <c r="M256" s="80">
        <f>IFERROR(__xludf.DUMMYFUNCTION("""COMPUTED_VALUE"""),186366.0)</f>
        <v>186366</v>
      </c>
      <c r="N256" s="88">
        <f t="shared" si="11"/>
        <v>484507</v>
      </c>
      <c r="O256" s="56"/>
      <c r="P256" s="56"/>
      <c r="Q256" s="56"/>
      <c r="R256" s="56"/>
      <c r="S256" s="56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82" t="str">
        <f>IFERROR(__xludf.DUMMYFUNCTION("""COMPUTED_VALUE"""),"2024 Q1")</f>
        <v>2024 Q1</v>
      </c>
      <c r="K257" s="83">
        <f>IFERROR(__xludf.DUMMYFUNCTION("""COMPUTED_VALUE"""),166550.0)</f>
        <v>166550</v>
      </c>
      <c r="L257" s="83">
        <f>IFERROR(__xludf.DUMMYFUNCTION("""COMPUTED_VALUE"""),85820.0)</f>
        <v>85820</v>
      </c>
      <c r="M257" s="83">
        <f>IFERROR(__xludf.DUMMYFUNCTION("""COMPUTED_VALUE"""),134440.0)</f>
        <v>134440</v>
      </c>
      <c r="N257" s="89">
        <f t="shared" si="11"/>
        <v>386810</v>
      </c>
      <c r="O257" s="56"/>
      <c r="P257" s="56"/>
      <c r="Q257" s="56"/>
      <c r="R257" s="56"/>
      <c r="S257" s="56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70" t="str">
        <f>IFERROR(__xludf.DUMMYFUNCTION("""COMPUTED_VALUE"""),"2024 Q2")</f>
        <v>2024 Q2</v>
      </c>
      <c r="K258" s="64">
        <f>IFERROR(__xludf.DUMMYFUNCTION("""COMPUTED_VALUE"""),186252.0)</f>
        <v>186252</v>
      </c>
      <c r="L258" s="64">
        <f>IFERROR(__xludf.DUMMYFUNCTION("""COMPUTED_VALUE"""),78417.0)</f>
        <v>78417</v>
      </c>
      <c r="M258" s="64">
        <f>IFERROR(__xludf.DUMMYFUNCTION("""COMPUTED_VALUE"""),179287.0)</f>
        <v>179287</v>
      </c>
      <c r="N258" s="65">
        <f t="shared" si="11"/>
        <v>443956</v>
      </c>
      <c r="O258" s="56"/>
      <c r="P258" s="56"/>
      <c r="Q258" s="56"/>
      <c r="R258" s="56"/>
      <c r="S258" s="56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70" t="str">
        <f>IFERROR(__xludf.DUMMYFUNCTION("""COMPUTED_VALUE"""),"2024 Q3")</f>
        <v>2024 Q3</v>
      </c>
      <c r="K259" s="64">
        <f>IFERROR(__xludf.DUMMYFUNCTION("""COMPUTED_VALUE"""),214634.0)</f>
        <v>214634</v>
      </c>
      <c r="L259" s="64">
        <f>IFERROR(__xludf.DUMMYFUNCTION("""COMPUTED_VALUE"""),78279.0)</f>
        <v>78279</v>
      </c>
      <c r="M259" s="64">
        <f>IFERROR(__xludf.DUMMYFUNCTION("""COMPUTED_VALUE"""),169977.0)</f>
        <v>169977</v>
      </c>
      <c r="N259" s="65">
        <f t="shared" si="11"/>
        <v>462890</v>
      </c>
      <c r="O259" s="56"/>
      <c r="P259" s="56"/>
      <c r="Q259" s="56"/>
      <c r="R259" s="56"/>
      <c r="S259" s="56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72" t="str">
        <f>IFERROR(__xludf.DUMMYFUNCTION("""COMPUTED_VALUE"""),"2024 Q4")</f>
        <v>2024 Q4</v>
      </c>
      <c r="K260" s="73">
        <f>IFERROR(__xludf.DUMMYFUNCTION("""COMPUTED_VALUE"""),230231.0)</f>
        <v>230231</v>
      </c>
      <c r="L260" s="73">
        <f>IFERROR(__xludf.DUMMYFUNCTION("""COMPUTED_VALUE"""),83473.0)</f>
        <v>83473</v>
      </c>
      <c r="M260" s="73">
        <f>IFERROR(__xludf.DUMMYFUNCTION("""COMPUTED_VALUE"""),181866.0)</f>
        <v>181866</v>
      </c>
      <c r="N260" s="86">
        <f t="shared" si="11"/>
        <v>495570</v>
      </c>
      <c r="O260" s="56"/>
      <c r="P260" s="56"/>
      <c r="Q260" s="56"/>
      <c r="R260" s="56"/>
      <c r="S260" s="56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75" t="str">
        <f>IFERROR(__xludf.DUMMYFUNCTION("""COMPUTED_VALUE"""),"2025 Q1")</f>
        <v>2025 Q1</v>
      </c>
      <c r="K261" s="76">
        <f>IFERROR(__xludf.DUMMYFUNCTION("""COMPUTED_VALUE"""),158339.0)</f>
        <v>158339</v>
      </c>
      <c r="L261" s="76">
        <f>IFERROR(__xludf.DUMMYFUNCTION("""COMPUTED_VALUE"""),53952.0)</f>
        <v>53952</v>
      </c>
      <c r="M261" s="76">
        <f>IFERROR(__xludf.DUMMYFUNCTION("""COMPUTED_VALUE"""),124390.0)</f>
        <v>124390</v>
      </c>
      <c r="N261" s="87">
        <f t="shared" si="11"/>
        <v>336681</v>
      </c>
      <c r="O261" s="56"/>
      <c r="P261" s="56"/>
      <c r="Q261" s="56"/>
      <c r="R261" s="56"/>
      <c r="S261" s="56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82" t="str">
        <f>IFERROR(__xludf.DUMMYFUNCTION("""COMPUTED_VALUE"""),"2025 Q2")</f>
        <v>2025 Q2</v>
      </c>
      <c r="K262" s="83">
        <f>IFERROR(__xludf.DUMMYFUNCTION("""COMPUTED_VALUE"""),176121.0)</f>
        <v>176121</v>
      </c>
      <c r="L262" s="83">
        <f>IFERROR(__xludf.DUMMYFUNCTION("""COMPUTED_VALUE"""),55891.0)</f>
        <v>55891</v>
      </c>
      <c r="M262" s="83">
        <f>IFERROR(__xludf.DUMMYFUNCTION("""COMPUTED_VALUE"""),152110.0)</f>
        <v>152110</v>
      </c>
      <c r="N262" s="65">
        <f t="shared" si="11"/>
        <v>384122</v>
      </c>
      <c r="O262" s="56"/>
      <c r="P262" s="56"/>
      <c r="Q262" s="56"/>
      <c r="R262" s="56"/>
      <c r="S262" s="56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70" t="str">
        <f>IFERROR(__xludf.DUMMYFUNCTION("""COMPUTED_VALUE"""),"2025 Q3")</f>
        <v>2025 Q3</v>
      </c>
      <c r="K263" s="64">
        <f>IFERROR(__xludf.DUMMYFUNCTION("""COMPUTED_VALUE"""),236410.0)</f>
        <v>236410</v>
      </c>
      <c r="L263" s="64">
        <f>IFERROR(__xludf.DUMMYFUNCTION("""COMPUTED_VALUE"""),63535.0)</f>
        <v>63535</v>
      </c>
      <c r="M263" s="64">
        <f>IFERROR(__xludf.DUMMYFUNCTION("""COMPUTED_VALUE"""),197154.0)</f>
        <v>197154</v>
      </c>
      <c r="N263" s="65">
        <f t="shared" si="11"/>
        <v>497099</v>
      </c>
      <c r="O263" s="56"/>
      <c r="P263" s="56"/>
      <c r="Q263" s="56"/>
      <c r="R263" s="56"/>
      <c r="S263" s="56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70" t="str">
        <f>IFERROR(__xludf.DUMMYFUNCTION("""COMPUTED_VALUE"""),"2025 Q4")</f>
        <v>2025 Q4</v>
      </c>
      <c r="K264" s="64">
        <f>IFERROR(__xludf.DUMMYFUNCTION("""COMPUTED_VALUE"""),240920.0)</f>
        <v>240920</v>
      </c>
      <c r="L264" s="64">
        <f>IFERROR(__xludf.DUMMYFUNCTION("""COMPUTED_VALUE"""),64904.0)</f>
        <v>64904</v>
      </c>
      <c r="M264" s="64">
        <f>IFERROR(__xludf.DUMMYFUNCTION("""COMPUTED_VALUE"""),112403.0)</f>
        <v>112403</v>
      </c>
      <c r="N264" s="65">
        <f t="shared" si="11"/>
        <v>418227</v>
      </c>
      <c r="O264" s="56"/>
      <c r="P264" s="56"/>
      <c r="Q264" s="56"/>
      <c r="R264" s="56"/>
      <c r="S264" s="56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85" t="s">
        <v>1</v>
      </c>
      <c r="K265" s="69">
        <f t="shared" ref="K265:N265" si="12">sum(K211:K264)</f>
        <v>3549278</v>
      </c>
      <c r="L265" s="69">
        <f t="shared" si="12"/>
        <v>1646943</v>
      </c>
      <c r="M265" s="69">
        <f t="shared" si="12"/>
        <v>3687503</v>
      </c>
      <c r="N265" s="69">
        <f t="shared" si="12"/>
        <v>8883724</v>
      </c>
      <c r="O265" s="56"/>
      <c r="P265" s="56"/>
      <c r="Q265" s="56"/>
      <c r="R265" s="56"/>
      <c r="S265" s="56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6"/>
      <c r="L266" s="56"/>
      <c r="M266" s="56"/>
      <c r="N266" s="56"/>
      <c r="O266" s="56"/>
      <c r="P266" s="56"/>
      <c r="Q266" s="56"/>
      <c r="R266" s="56"/>
      <c r="S266" s="56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6"/>
      <c r="L267" s="56"/>
      <c r="M267" s="56"/>
      <c r="N267" s="56"/>
      <c r="O267" s="56"/>
      <c r="P267" s="56"/>
      <c r="Q267" s="56"/>
      <c r="R267" s="56"/>
      <c r="S267" s="56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6"/>
      <c r="L268" s="56"/>
      <c r="M268" s="56"/>
      <c r="N268" s="56"/>
      <c r="O268" s="56"/>
      <c r="P268" s="56"/>
      <c r="Q268" s="56"/>
      <c r="R268" s="56"/>
      <c r="S268" s="56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6"/>
      <c r="L269" s="56"/>
      <c r="M269" s="56"/>
      <c r="N269" s="56"/>
      <c r="O269" s="56"/>
      <c r="P269" s="56"/>
      <c r="Q269" s="56"/>
      <c r="R269" s="56"/>
      <c r="S269" s="56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6"/>
      <c r="L270" s="56"/>
      <c r="M270" s="56"/>
      <c r="N270" s="56"/>
      <c r="O270" s="56"/>
      <c r="P270" s="56"/>
      <c r="Q270" s="56"/>
      <c r="R270" s="56"/>
      <c r="S270" s="56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6"/>
      <c r="L271" s="56"/>
      <c r="M271" s="56"/>
      <c r="N271" s="56"/>
      <c r="O271" s="56"/>
      <c r="P271" s="56"/>
      <c r="Q271" s="56"/>
      <c r="R271" s="56"/>
      <c r="S271" s="56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7" t="s">
        <v>95</v>
      </c>
      <c r="K272" s="58"/>
      <c r="L272" s="58"/>
      <c r="M272" s="59"/>
      <c r="Q272" s="56"/>
      <c r="R272" s="56"/>
      <c r="S272" s="56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90" t="str">
        <f>IFERROR(__xludf.DUMMYFUNCTION("query({Delivery_Data!$A:$I},""select Col3,sum(Col8) where Col3&lt;&gt;'' and (Col4='Model 3' or Col4='Model Y') and Col8 is not null group by Col3 pivot Col4"",1)"),"Quarter")</f>
        <v>Quarter</v>
      </c>
      <c r="K273" s="91" t="str">
        <f>IFERROR(__xludf.DUMMYFUNCTION("""COMPUTED_VALUE"""),"Model 3")</f>
        <v>Model 3</v>
      </c>
      <c r="L273" s="91" t="str">
        <f>IFERROR(__xludf.DUMMYFUNCTION("""COMPUTED_VALUE"""),"Model Y")</f>
        <v>Model Y</v>
      </c>
      <c r="M273" s="92" t="s">
        <v>1</v>
      </c>
      <c r="Q273" s="56"/>
      <c r="R273" s="56"/>
      <c r="S273" s="56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70" t="str">
        <f>IFERROR(__xludf.DUMMYFUNCTION("""COMPUTED_VALUE"""),"2017 Q3")</f>
        <v>2017 Q3</v>
      </c>
      <c r="K274" s="64">
        <f>IFERROR(__xludf.DUMMYFUNCTION("""COMPUTED_VALUE"""),222.0)</f>
        <v>222</v>
      </c>
      <c r="L274" s="64"/>
      <c r="M274" s="65">
        <f t="shared" ref="M274:M308" si="13">sum(K274:L274)</f>
        <v>222</v>
      </c>
      <c r="Q274" s="56"/>
      <c r="R274" s="56"/>
      <c r="S274" s="56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72" t="str">
        <f>IFERROR(__xludf.DUMMYFUNCTION("""COMPUTED_VALUE"""),"2017 Q4")</f>
        <v>2017 Q4</v>
      </c>
      <c r="K275" s="73">
        <f>IFERROR(__xludf.DUMMYFUNCTION("""COMPUTED_VALUE"""),1542.0)</f>
        <v>1542</v>
      </c>
      <c r="L275" s="73"/>
      <c r="M275" s="86">
        <f t="shared" si="13"/>
        <v>1542</v>
      </c>
      <c r="Q275" s="56"/>
      <c r="R275" s="56"/>
      <c r="S275" s="56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75" t="str">
        <f>IFERROR(__xludf.DUMMYFUNCTION("""COMPUTED_VALUE"""),"2018 Q1")</f>
        <v>2018 Q1</v>
      </c>
      <c r="K276" s="76">
        <f>IFERROR(__xludf.DUMMYFUNCTION("""COMPUTED_VALUE"""),8182.0)</f>
        <v>8182</v>
      </c>
      <c r="L276" s="76"/>
      <c r="M276" s="87">
        <f t="shared" si="13"/>
        <v>8182</v>
      </c>
      <c r="Q276" s="56"/>
      <c r="R276" s="56"/>
      <c r="S276" s="56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70" t="str">
        <f>IFERROR(__xludf.DUMMYFUNCTION("""COMPUTED_VALUE"""),"2018 Q2")</f>
        <v>2018 Q2</v>
      </c>
      <c r="K277" s="64">
        <f>IFERROR(__xludf.DUMMYFUNCTION("""COMPUTED_VALUE"""),18449.0)</f>
        <v>18449</v>
      </c>
      <c r="L277" s="64"/>
      <c r="M277" s="65">
        <f t="shared" si="13"/>
        <v>18449</v>
      </c>
      <c r="Q277" s="56"/>
      <c r="R277" s="56"/>
      <c r="S277" s="56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70" t="str">
        <f>IFERROR(__xludf.DUMMYFUNCTION("""COMPUTED_VALUE"""),"2018 Q3")</f>
        <v>2018 Q3</v>
      </c>
      <c r="K278" s="64">
        <f>IFERROR(__xludf.DUMMYFUNCTION("""COMPUTED_VALUE"""),56065.0)</f>
        <v>56065</v>
      </c>
      <c r="L278" s="64"/>
      <c r="M278" s="65">
        <f t="shared" si="13"/>
        <v>56065</v>
      </c>
      <c r="Q278" s="56"/>
      <c r="R278" s="56"/>
      <c r="S278" s="56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79" t="str">
        <f>IFERROR(__xludf.DUMMYFUNCTION("""COMPUTED_VALUE"""),"2018 Q4")</f>
        <v>2018 Q4</v>
      </c>
      <c r="K279" s="80">
        <f>IFERROR(__xludf.DUMMYFUNCTION("""COMPUTED_VALUE"""),63359.0)</f>
        <v>63359</v>
      </c>
      <c r="L279" s="80"/>
      <c r="M279" s="88">
        <f t="shared" si="13"/>
        <v>63359</v>
      </c>
      <c r="Q279" s="56"/>
      <c r="R279" s="56"/>
      <c r="S279" s="56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82" t="str">
        <f>IFERROR(__xludf.DUMMYFUNCTION("""COMPUTED_VALUE"""),"2019 Q1")</f>
        <v>2019 Q1</v>
      </c>
      <c r="K280" s="83">
        <f>IFERROR(__xludf.DUMMYFUNCTION("""COMPUTED_VALUE"""),50928.0)</f>
        <v>50928</v>
      </c>
      <c r="L280" s="83"/>
      <c r="M280" s="89">
        <f t="shared" si="13"/>
        <v>50928</v>
      </c>
      <c r="Q280" s="56"/>
      <c r="R280" s="56"/>
      <c r="S280" s="56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82" t="str">
        <f>IFERROR(__xludf.DUMMYFUNCTION("""COMPUTED_VALUE"""),"2019 Q2")</f>
        <v>2019 Q2</v>
      </c>
      <c r="K281" s="83">
        <f>IFERROR(__xludf.DUMMYFUNCTION("""COMPUTED_VALUE"""),77634.0)</f>
        <v>77634</v>
      </c>
      <c r="L281" s="83"/>
      <c r="M281" s="65">
        <f t="shared" si="13"/>
        <v>77634</v>
      </c>
      <c r="Q281" s="56"/>
      <c r="R281" s="56"/>
      <c r="S281" s="56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70" t="str">
        <f>IFERROR(__xludf.DUMMYFUNCTION("""COMPUTED_VALUE"""),"2019 Q3")</f>
        <v>2019 Q3</v>
      </c>
      <c r="K282" s="64">
        <f>IFERROR(__xludf.DUMMYFUNCTION("""COMPUTED_VALUE"""),79703.0)</f>
        <v>79703</v>
      </c>
      <c r="L282" s="64"/>
      <c r="M282" s="65">
        <f t="shared" si="13"/>
        <v>79703</v>
      </c>
      <c r="Q282" s="56"/>
      <c r="R282" s="56"/>
      <c r="S282" s="56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72" t="str">
        <f>IFERROR(__xludf.DUMMYFUNCTION("""COMPUTED_VALUE"""),"2019 Q4")</f>
        <v>2019 Q4</v>
      </c>
      <c r="K283" s="73">
        <f>IFERROR(__xludf.DUMMYFUNCTION("""COMPUTED_VALUE"""),92620.0)</f>
        <v>92620</v>
      </c>
      <c r="L283" s="73"/>
      <c r="M283" s="86">
        <f t="shared" si="13"/>
        <v>92620</v>
      </c>
      <c r="Q283" s="56"/>
      <c r="R283" s="56"/>
      <c r="S283" s="56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75" t="str">
        <f>IFERROR(__xludf.DUMMYFUNCTION("""COMPUTED_VALUE"""),"2020 Q1")</f>
        <v>2020 Q1</v>
      </c>
      <c r="K284" s="76">
        <f>IFERROR(__xludf.DUMMYFUNCTION("""COMPUTED_VALUE"""),74100.0)</f>
        <v>74100</v>
      </c>
      <c r="L284" s="76">
        <f>IFERROR(__xludf.DUMMYFUNCTION("""COMPUTED_VALUE"""),2166.0)</f>
        <v>2166</v>
      </c>
      <c r="M284" s="87">
        <f t="shared" si="13"/>
        <v>76266</v>
      </c>
      <c r="Q284" s="56"/>
      <c r="R284" s="56"/>
      <c r="S284" s="56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82" t="str">
        <f>IFERROR(__xludf.DUMMYFUNCTION("""COMPUTED_VALUE"""),"2020 Q2")</f>
        <v>2020 Q2</v>
      </c>
      <c r="K285" s="83">
        <f>IFERROR(__xludf.DUMMYFUNCTION("""COMPUTED_VALUE"""),67000.0)</f>
        <v>67000</v>
      </c>
      <c r="L285" s="83">
        <f>IFERROR(__xludf.DUMMYFUNCTION("""COMPUTED_VALUE"""),13277.0)</f>
        <v>13277</v>
      </c>
      <c r="M285" s="65">
        <f t="shared" si="13"/>
        <v>80277</v>
      </c>
      <c r="Q285" s="56"/>
      <c r="R285" s="56"/>
      <c r="S285" s="56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70" t="str">
        <f>IFERROR(__xludf.DUMMYFUNCTION("""COMPUTED_VALUE"""),"2020 Q3")</f>
        <v>2020 Q3</v>
      </c>
      <c r="K286" s="64">
        <f>IFERROR(__xludf.DUMMYFUNCTION("""COMPUTED_VALUE"""),92000.0)</f>
        <v>92000</v>
      </c>
      <c r="L286" s="64">
        <f>IFERROR(__xludf.DUMMYFUNCTION("""COMPUTED_VALUE"""),32318.0)</f>
        <v>32318</v>
      </c>
      <c r="M286" s="65">
        <f t="shared" si="13"/>
        <v>124318</v>
      </c>
      <c r="Q286" s="56"/>
      <c r="R286" s="56"/>
      <c r="S286" s="56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79" t="str">
        <f>IFERROR(__xludf.DUMMYFUNCTION("""COMPUTED_VALUE"""),"2020 Q4")</f>
        <v>2020 Q4</v>
      </c>
      <c r="K287" s="80">
        <f>IFERROR(__xludf.DUMMYFUNCTION("""COMPUTED_VALUE"""),123150.0)</f>
        <v>123150</v>
      </c>
      <c r="L287" s="80">
        <f>IFERROR(__xludf.DUMMYFUNCTION("""COMPUTED_VALUE"""),38551.0)</f>
        <v>38551</v>
      </c>
      <c r="M287" s="88">
        <f t="shared" si="13"/>
        <v>161701</v>
      </c>
      <c r="Q287" s="56"/>
      <c r="R287" s="56"/>
      <c r="S287" s="56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82" t="str">
        <f>IFERROR(__xludf.DUMMYFUNCTION("""COMPUTED_VALUE"""),"2021 Q1")</f>
        <v>2021 Q1</v>
      </c>
      <c r="K288" s="83">
        <f>IFERROR(__xludf.DUMMYFUNCTION("""COMPUTED_VALUE"""),121300.0)</f>
        <v>121300</v>
      </c>
      <c r="L288" s="83">
        <f>IFERROR(__xludf.DUMMYFUNCTION("""COMPUTED_VALUE"""),61547.0)</f>
        <v>61547</v>
      </c>
      <c r="M288" s="89">
        <f t="shared" si="13"/>
        <v>182847</v>
      </c>
      <c r="Q288" s="56"/>
      <c r="R288" s="56"/>
      <c r="S288" s="56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70" t="str">
        <f>IFERROR(__xludf.DUMMYFUNCTION("""COMPUTED_VALUE"""),"2021 Q2")</f>
        <v>2021 Q2</v>
      </c>
      <c r="K289" s="64">
        <f>IFERROR(__xludf.DUMMYFUNCTION("""COMPUTED_VALUE"""),115325.0)</f>
        <v>115325</v>
      </c>
      <c r="L289" s="64">
        <f>IFERROR(__xludf.DUMMYFUNCTION("""COMPUTED_VALUE"""),84084.0)</f>
        <v>84084</v>
      </c>
      <c r="M289" s="65">
        <f t="shared" si="13"/>
        <v>199409</v>
      </c>
      <c r="Q289" s="56"/>
      <c r="R289" s="56"/>
      <c r="S289" s="56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70" t="str">
        <f>IFERROR(__xludf.DUMMYFUNCTION("""COMPUTED_VALUE"""),"2021 Q3")</f>
        <v>2021 Q3</v>
      </c>
      <c r="K290" s="64">
        <f>IFERROR(__xludf.DUMMYFUNCTION("""COMPUTED_VALUE"""),125556.0)</f>
        <v>125556</v>
      </c>
      <c r="L290" s="64">
        <f>IFERROR(__xludf.DUMMYFUNCTION("""COMPUTED_VALUE"""),106546.0)</f>
        <v>106546</v>
      </c>
      <c r="M290" s="65">
        <f t="shared" si="13"/>
        <v>232102</v>
      </c>
      <c r="Q290" s="56"/>
      <c r="R290" s="56"/>
      <c r="S290" s="56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72" t="str">
        <f>IFERROR(__xludf.DUMMYFUNCTION("""COMPUTED_VALUE"""),"2021 Q4")</f>
        <v>2021 Q4</v>
      </c>
      <c r="K291" s="73">
        <f>IFERROR(__xludf.DUMMYFUNCTION("""COMPUTED_VALUE"""),148003.0)</f>
        <v>148003</v>
      </c>
      <c r="L291" s="73">
        <f>IFERROR(__xludf.DUMMYFUNCTION("""COMPUTED_VALUE"""),148881.0)</f>
        <v>148881</v>
      </c>
      <c r="M291" s="86">
        <f t="shared" si="13"/>
        <v>296884</v>
      </c>
      <c r="Q291" s="56"/>
      <c r="R291" s="56"/>
      <c r="S291" s="56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75" t="str">
        <f>IFERROR(__xludf.DUMMYFUNCTION("""COMPUTED_VALUE"""),"2022 Q1")</f>
        <v>2022 Q1</v>
      </c>
      <c r="K292" s="76">
        <f>IFERROR(__xludf.DUMMYFUNCTION("""COMPUTED_VALUE"""),133799.0)</f>
        <v>133799</v>
      </c>
      <c r="L292" s="76">
        <f>IFERROR(__xludf.DUMMYFUNCTION("""COMPUTED_VALUE"""),161525.0)</f>
        <v>161525</v>
      </c>
      <c r="M292" s="87">
        <f t="shared" si="13"/>
        <v>295324</v>
      </c>
      <c r="Q292" s="56"/>
      <c r="R292" s="56"/>
      <c r="S292" s="56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70" t="str">
        <f>IFERROR(__xludf.DUMMYFUNCTION("""COMPUTED_VALUE"""),"2022 Q2")</f>
        <v>2022 Q2</v>
      </c>
      <c r="K293" s="64">
        <f>IFERROR(__xludf.DUMMYFUNCTION("""COMPUTED_VALUE"""),96468.0)</f>
        <v>96468</v>
      </c>
      <c r="L293" s="64">
        <f>IFERROR(__xludf.DUMMYFUNCTION("""COMPUTED_VALUE"""),142065.0)</f>
        <v>142065</v>
      </c>
      <c r="M293" s="65">
        <f t="shared" si="13"/>
        <v>238533</v>
      </c>
      <c r="Q293" s="56"/>
      <c r="R293" s="56"/>
      <c r="S293" s="56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70" t="str">
        <f>IFERROR(__xludf.DUMMYFUNCTION("""COMPUTED_VALUE"""),"2022 Q3")</f>
        <v>2022 Q3</v>
      </c>
      <c r="K294" s="64">
        <f>IFERROR(__xludf.DUMMYFUNCTION("""COMPUTED_VALUE"""),121991.0)</f>
        <v>121991</v>
      </c>
      <c r="L294" s="64">
        <f>IFERROR(__xludf.DUMMYFUNCTION("""COMPUTED_VALUE"""),203167.0)</f>
        <v>203167</v>
      </c>
      <c r="M294" s="65">
        <f t="shared" si="13"/>
        <v>325158</v>
      </c>
      <c r="Q294" s="56"/>
      <c r="R294" s="56"/>
      <c r="S294" s="56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79" t="str">
        <f>IFERROR(__xludf.DUMMYFUNCTION("""COMPUTED_VALUE"""),"2022 Q4")</f>
        <v>2022 Q4</v>
      </c>
      <c r="K295" s="80">
        <f>IFERROR(__xludf.DUMMYFUNCTION("""COMPUTED_VALUE"""),129891.0)</f>
        <v>129891</v>
      </c>
      <c r="L295" s="80">
        <f>IFERROR(__xludf.DUMMYFUNCTION("""COMPUTED_VALUE"""),258240.0)</f>
        <v>258240</v>
      </c>
      <c r="M295" s="88">
        <f t="shared" si="13"/>
        <v>388131</v>
      </c>
      <c r="Q295" s="56"/>
      <c r="R295" s="56"/>
      <c r="S295" s="56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82" t="str">
        <f>IFERROR(__xludf.DUMMYFUNCTION("""COMPUTED_VALUE"""),"2023 Q1")</f>
        <v>2023 Q1</v>
      </c>
      <c r="K296" s="83">
        <f>IFERROR(__xludf.DUMMYFUNCTION("""COMPUTED_VALUE"""),133815.0)</f>
        <v>133815</v>
      </c>
      <c r="L296" s="83">
        <f>IFERROR(__xludf.DUMMYFUNCTION("""COMPUTED_VALUE"""),278365.0)</f>
        <v>278365</v>
      </c>
      <c r="M296" s="89">
        <f t="shared" si="13"/>
        <v>412180</v>
      </c>
      <c r="Q296" s="56"/>
      <c r="R296" s="56"/>
      <c r="S296" s="56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70" t="str">
        <f>IFERROR(__xludf.DUMMYFUNCTION("""COMPUTED_VALUE"""),"2023 Q2")</f>
        <v>2023 Q2</v>
      </c>
      <c r="K297" s="64">
        <f>IFERROR(__xludf.DUMMYFUNCTION("""COMPUTED_VALUE"""),142703.0)</f>
        <v>142703</v>
      </c>
      <c r="L297" s="64">
        <f>IFERROR(__xludf.DUMMYFUNCTION("""COMPUTED_VALUE"""),304212.0)</f>
        <v>304212</v>
      </c>
      <c r="M297" s="65">
        <f t="shared" si="13"/>
        <v>446915</v>
      </c>
      <c r="Q297" s="56"/>
      <c r="R297" s="56"/>
      <c r="S297" s="56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70" t="str">
        <f>IFERROR(__xludf.DUMMYFUNCTION("""COMPUTED_VALUE"""),"2023 Q3")</f>
        <v>2023 Q3</v>
      </c>
      <c r="K298" s="64">
        <f>IFERROR(__xludf.DUMMYFUNCTION("""COMPUTED_VALUE"""),110119.0)</f>
        <v>110119</v>
      </c>
      <c r="L298" s="64">
        <f>IFERROR(__xludf.DUMMYFUNCTION("""COMPUTED_VALUE"""),308955.0)</f>
        <v>308955</v>
      </c>
      <c r="M298" s="65">
        <f t="shared" si="13"/>
        <v>419074</v>
      </c>
      <c r="Q298" s="56"/>
      <c r="R298" s="56"/>
      <c r="S298" s="56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72" t="str">
        <f>IFERROR(__xludf.DUMMYFUNCTION("""COMPUTED_VALUE"""),"2023 Q4")</f>
        <v>2023 Q4</v>
      </c>
      <c r="K299" s="73">
        <f>IFERROR(__xludf.DUMMYFUNCTION("""COMPUTED_VALUE"""),133727.0)</f>
        <v>133727</v>
      </c>
      <c r="L299" s="73">
        <f>IFERROR(__xludf.DUMMYFUNCTION("""COMPUTED_VALUE"""),327811.0)</f>
        <v>327811</v>
      </c>
      <c r="M299" s="86">
        <f t="shared" si="13"/>
        <v>461538</v>
      </c>
      <c r="Q299" s="56"/>
      <c r="R299" s="56"/>
      <c r="S299" s="56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75" t="str">
        <f>IFERROR(__xludf.DUMMYFUNCTION("""COMPUTED_VALUE"""),"2024 Q1")</f>
        <v>2024 Q1</v>
      </c>
      <c r="K300" s="76">
        <f>IFERROR(__xludf.DUMMYFUNCTION("""COMPUTED_VALUE"""),94369.0)</f>
        <v>94369</v>
      </c>
      <c r="L300" s="76">
        <f>IFERROR(__xludf.DUMMYFUNCTION("""COMPUTED_VALUE"""),275414.0)</f>
        <v>275414</v>
      </c>
      <c r="M300" s="87">
        <f t="shared" si="13"/>
        <v>369783</v>
      </c>
      <c r="Q300" s="56"/>
      <c r="R300" s="56"/>
      <c r="S300" s="56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70" t="str">
        <f>IFERROR(__xludf.DUMMYFUNCTION("""COMPUTED_VALUE"""),"2024 Q2")</f>
        <v>2024 Q2</v>
      </c>
      <c r="K301" s="64">
        <f>IFERROR(__xludf.DUMMYFUNCTION("""COMPUTED_VALUE"""),136472.0)</f>
        <v>136472</v>
      </c>
      <c r="L301" s="64">
        <f>IFERROR(__xludf.DUMMYFUNCTION("""COMPUTED_VALUE"""),285933.0)</f>
        <v>285933</v>
      </c>
      <c r="M301" s="65">
        <f t="shared" si="13"/>
        <v>422405</v>
      </c>
      <c r="Q301" s="56"/>
      <c r="R301" s="56"/>
      <c r="S301" s="56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70" t="str">
        <f>IFERROR(__xludf.DUMMYFUNCTION("""COMPUTED_VALUE"""),"2024 Q3")</f>
        <v>2024 Q3</v>
      </c>
      <c r="K302" s="64">
        <f>IFERROR(__xludf.DUMMYFUNCTION("""COMPUTED_VALUE"""),144379.0)</f>
        <v>144379</v>
      </c>
      <c r="L302" s="64">
        <f>IFERROR(__xludf.DUMMYFUNCTION("""COMPUTED_VALUE"""),295596.0)</f>
        <v>295596</v>
      </c>
      <c r="M302" s="65">
        <f t="shared" si="13"/>
        <v>439975</v>
      </c>
      <c r="Q302" s="56"/>
      <c r="R302" s="56"/>
      <c r="S302" s="56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79" t="str">
        <f>IFERROR(__xludf.DUMMYFUNCTION("""COMPUTED_VALUE"""),"2024 Q4")</f>
        <v>2024 Q4</v>
      </c>
      <c r="K303" s="80">
        <f>IFERROR(__xludf.DUMMYFUNCTION("""COMPUTED_VALUE"""),149526.0)</f>
        <v>149526</v>
      </c>
      <c r="L303" s="80">
        <f>IFERROR(__xludf.DUMMYFUNCTION("""COMPUTED_VALUE"""),322404.0)</f>
        <v>322404</v>
      </c>
      <c r="M303" s="88">
        <f t="shared" si="13"/>
        <v>471930</v>
      </c>
      <c r="Q303" s="56"/>
      <c r="R303" s="56"/>
      <c r="S303" s="56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82" t="str">
        <f>IFERROR(__xludf.DUMMYFUNCTION("""COMPUTED_VALUE"""),"2025 Q1")</f>
        <v>2025 Q1</v>
      </c>
      <c r="K304" s="83">
        <f>IFERROR(__xludf.DUMMYFUNCTION("""COMPUTED_VALUE"""),135558.0)</f>
        <v>135558</v>
      </c>
      <c r="L304" s="83">
        <f>IFERROR(__xludf.DUMMYFUNCTION("""COMPUTED_VALUE"""),188242.0)</f>
        <v>188242</v>
      </c>
      <c r="M304" s="89">
        <f t="shared" si="13"/>
        <v>323800</v>
      </c>
      <c r="Q304" s="56"/>
      <c r="R304" s="56"/>
      <c r="S304" s="56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82" t="str">
        <f>IFERROR(__xludf.DUMMYFUNCTION("""COMPUTED_VALUE"""),"2025 Q2")</f>
        <v>2025 Q2</v>
      </c>
      <c r="K305" s="83">
        <f>IFERROR(__xludf.DUMMYFUNCTION("""COMPUTED_VALUE"""),112420.0)</f>
        <v>112420</v>
      </c>
      <c r="L305" s="83">
        <f>IFERROR(__xludf.DUMMYFUNCTION("""COMPUTED_VALUE"""),261308.0)</f>
        <v>261308</v>
      </c>
      <c r="M305" s="65">
        <f t="shared" si="13"/>
        <v>373728</v>
      </c>
      <c r="Q305" s="56"/>
      <c r="R305" s="56"/>
      <c r="S305" s="56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70" t="str">
        <f>IFERROR(__xludf.DUMMYFUNCTION("""COMPUTED_VALUE"""),"2025 Q3")</f>
        <v>2025 Q3</v>
      </c>
      <c r="K306" s="64">
        <f>IFERROR(__xludf.DUMMYFUNCTION("""COMPUTED_VALUE"""),124965.0)</f>
        <v>124965</v>
      </c>
      <c r="L306" s="64">
        <f>IFERROR(__xludf.DUMMYFUNCTION("""COMPUTED_VALUE"""),356201.0)</f>
        <v>356201</v>
      </c>
      <c r="M306" s="65">
        <f t="shared" si="13"/>
        <v>481166</v>
      </c>
      <c r="Q306" s="56"/>
      <c r="R306" s="56"/>
      <c r="S306" s="56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70" t="str">
        <f>IFERROR(__xludf.DUMMYFUNCTION("""COMPUTED_VALUE"""),"2025 Q4")</f>
        <v>2025 Q4</v>
      </c>
      <c r="K307" s="64">
        <f>IFERROR(__xludf.DUMMYFUNCTION("""COMPUTED_VALUE"""),116425.0)</f>
        <v>116425</v>
      </c>
      <c r="L307" s="64">
        <f>IFERROR(__xludf.DUMMYFUNCTION("""COMPUTED_VALUE"""),290160.0)</f>
        <v>290160</v>
      </c>
      <c r="M307" s="65">
        <f t="shared" si="13"/>
        <v>406585</v>
      </c>
      <c r="Q307" s="56"/>
      <c r="R307" s="56"/>
      <c r="S307" s="56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85" t="s">
        <v>1</v>
      </c>
      <c r="K308" s="69">
        <f t="shared" ref="K308:L308" si="14">sum(K274:K307)</f>
        <v>3331765</v>
      </c>
      <c r="L308" s="69">
        <f t="shared" si="14"/>
        <v>4746968</v>
      </c>
      <c r="M308" s="65">
        <f t="shared" si="13"/>
        <v>8078733</v>
      </c>
      <c r="Q308" s="56"/>
      <c r="R308" s="56"/>
      <c r="S308" s="56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6"/>
      <c r="L309" s="56"/>
      <c r="M309" s="56"/>
      <c r="N309" s="56"/>
      <c r="O309" s="56"/>
      <c r="P309" s="56"/>
      <c r="Q309" s="56"/>
      <c r="R309" s="56"/>
      <c r="S309" s="56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6"/>
      <c r="L310" s="56"/>
      <c r="M310" s="56"/>
      <c r="N310" s="56"/>
      <c r="O310" s="56"/>
      <c r="P310" s="56"/>
      <c r="Q310" s="56"/>
      <c r="R310" s="56"/>
      <c r="S310" s="56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6"/>
      <c r="L311" s="56"/>
      <c r="M311" s="56"/>
      <c r="N311" s="56"/>
      <c r="O311" s="56"/>
      <c r="P311" s="56"/>
      <c r="Q311" s="56"/>
      <c r="R311" s="56"/>
      <c r="S311" s="56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7" t="s">
        <v>96</v>
      </c>
      <c r="K312" s="58"/>
      <c r="L312" s="58"/>
      <c r="M312" s="59"/>
      <c r="Q312" s="56"/>
      <c r="R312" s="56"/>
      <c r="S312" s="56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93" t="str">
        <f>IFERROR(__xludf.DUMMYFUNCTION("query({Delivery_Data!$A:$I},""select Col3,sum(Col8) where Col3&lt;&gt;'' and (Col4='Model 3' or Col4='Model Y') and Col6='USA' and Col8 is not null group by Col3 pivot Col4"",1)"),"Quarter")</f>
        <v>Quarter</v>
      </c>
      <c r="K313" s="94" t="str">
        <f>IFERROR(__xludf.DUMMYFUNCTION("""COMPUTED_VALUE"""),"Model 3")</f>
        <v>Model 3</v>
      </c>
      <c r="L313" s="94" t="str">
        <f>IFERROR(__xludf.DUMMYFUNCTION("""COMPUTED_VALUE"""),"Model Y")</f>
        <v>Model Y</v>
      </c>
      <c r="M313" s="95" t="s">
        <v>1</v>
      </c>
      <c r="Q313" s="56"/>
      <c r="R313" s="56"/>
      <c r="S313" s="56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70" t="str">
        <f>IFERROR(__xludf.DUMMYFUNCTION("""COMPUTED_VALUE"""),"2017 Q3")</f>
        <v>2017 Q3</v>
      </c>
      <c r="K314" s="64">
        <f>IFERROR(__xludf.DUMMYFUNCTION("""COMPUTED_VALUE"""),222.0)</f>
        <v>222</v>
      </c>
      <c r="L314" s="64"/>
      <c r="M314" s="65">
        <f t="shared" ref="M314:M348" si="15">SUM(K314:L314)</f>
        <v>222</v>
      </c>
      <c r="Q314" s="56"/>
      <c r="R314" s="56"/>
      <c r="S314" s="56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72" t="str">
        <f>IFERROR(__xludf.DUMMYFUNCTION("""COMPUTED_VALUE"""),"2017 Q4")</f>
        <v>2017 Q4</v>
      </c>
      <c r="K315" s="73">
        <f>IFERROR(__xludf.DUMMYFUNCTION("""COMPUTED_VALUE"""),1542.0)</f>
        <v>1542</v>
      </c>
      <c r="L315" s="73"/>
      <c r="M315" s="86">
        <f t="shared" si="15"/>
        <v>1542</v>
      </c>
      <c r="Q315" s="56"/>
      <c r="R315" s="56"/>
      <c r="S315" s="56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75" t="str">
        <f>IFERROR(__xludf.DUMMYFUNCTION("""COMPUTED_VALUE"""),"2018 Q1")</f>
        <v>2018 Q1</v>
      </c>
      <c r="K316" s="76">
        <f>IFERROR(__xludf.DUMMYFUNCTION("""COMPUTED_VALUE"""),8182.0)</f>
        <v>8182</v>
      </c>
      <c r="L316" s="76"/>
      <c r="M316" s="87">
        <f t="shared" si="15"/>
        <v>8182</v>
      </c>
      <c r="Q316" s="56"/>
      <c r="R316" s="56"/>
      <c r="S316" s="56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70" t="str">
        <f>IFERROR(__xludf.DUMMYFUNCTION("""COMPUTED_VALUE"""),"2018 Q2")</f>
        <v>2018 Q2</v>
      </c>
      <c r="K317" s="64">
        <f>IFERROR(__xludf.DUMMYFUNCTION("""COMPUTED_VALUE"""),17118.0)</f>
        <v>17118</v>
      </c>
      <c r="L317" s="64"/>
      <c r="M317" s="65">
        <f t="shared" si="15"/>
        <v>17118</v>
      </c>
      <c r="Q317" s="56"/>
      <c r="R317" s="56"/>
      <c r="S317" s="56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70" t="str">
        <f>IFERROR(__xludf.DUMMYFUNCTION("""COMPUTED_VALUE"""),"2018 Q3")</f>
        <v>2018 Q3</v>
      </c>
      <c r="K318" s="64">
        <f>IFERROR(__xludf.DUMMYFUNCTION("""COMPUTED_VALUE"""),54353.0)</f>
        <v>54353</v>
      </c>
      <c r="L318" s="64"/>
      <c r="M318" s="65">
        <f t="shared" si="15"/>
        <v>54353</v>
      </c>
      <c r="Q318" s="56"/>
      <c r="R318" s="56"/>
      <c r="S318" s="56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79" t="str">
        <f>IFERROR(__xludf.DUMMYFUNCTION("""COMPUTED_VALUE"""),"2018 Q4")</f>
        <v>2018 Q4</v>
      </c>
      <c r="K319" s="80">
        <f>IFERROR(__xludf.DUMMYFUNCTION("""COMPUTED_VALUE"""),61606.0)</f>
        <v>61606</v>
      </c>
      <c r="L319" s="80"/>
      <c r="M319" s="88">
        <f t="shared" si="15"/>
        <v>61606</v>
      </c>
      <c r="Q319" s="56"/>
      <c r="R319" s="56"/>
      <c r="S319" s="56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82" t="str">
        <f>IFERROR(__xludf.DUMMYFUNCTION("""COMPUTED_VALUE"""),"2019 Q1")</f>
        <v>2019 Q1</v>
      </c>
      <c r="K320" s="83">
        <f>IFERROR(__xludf.DUMMYFUNCTION("""COMPUTED_VALUE"""),26681.0)</f>
        <v>26681</v>
      </c>
      <c r="L320" s="83"/>
      <c r="M320" s="89">
        <f t="shared" si="15"/>
        <v>26681</v>
      </c>
      <c r="Q320" s="56"/>
      <c r="R320" s="56"/>
      <c r="S320" s="56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70" t="str">
        <f>IFERROR(__xludf.DUMMYFUNCTION("""COMPUTED_VALUE"""),"2019 Q2")</f>
        <v>2019 Q2</v>
      </c>
      <c r="K321" s="64">
        <f>IFERROR(__xludf.DUMMYFUNCTION("""COMPUTED_VALUE"""),45727.0)</f>
        <v>45727</v>
      </c>
      <c r="L321" s="64"/>
      <c r="M321" s="65">
        <f t="shared" si="15"/>
        <v>45727</v>
      </c>
      <c r="Q321" s="56"/>
      <c r="R321" s="56"/>
      <c r="S321" s="56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70" t="str">
        <f>IFERROR(__xludf.DUMMYFUNCTION("""COMPUTED_VALUE"""),"2019 Q3")</f>
        <v>2019 Q3</v>
      </c>
      <c r="K322" s="64">
        <f>IFERROR(__xludf.DUMMYFUNCTION("""COMPUTED_VALUE"""),38036.0)</f>
        <v>38036</v>
      </c>
      <c r="L322" s="64"/>
      <c r="M322" s="65">
        <f t="shared" si="15"/>
        <v>38036</v>
      </c>
      <c r="Q322" s="56"/>
      <c r="R322" s="56"/>
      <c r="S322" s="56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72" t="str">
        <f>IFERROR(__xludf.DUMMYFUNCTION("""COMPUTED_VALUE"""),"2019 Q4")</f>
        <v>2019 Q4</v>
      </c>
      <c r="K323" s="73">
        <f>IFERROR(__xludf.DUMMYFUNCTION("""COMPUTED_VALUE"""),42713.0)</f>
        <v>42713</v>
      </c>
      <c r="L323" s="73"/>
      <c r="M323" s="86">
        <f t="shared" si="15"/>
        <v>42713</v>
      </c>
      <c r="Q323" s="56"/>
      <c r="R323" s="56"/>
      <c r="S323" s="56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75" t="str">
        <f>IFERROR(__xludf.DUMMYFUNCTION("""COMPUTED_VALUE"""),"2020 Q1")</f>
        <v>2020 Q1</v>
      </c>
      <c r="K324" s="76">
        <f>IFERROR(__xludf.DUMMYFUNCTION("""COMPUTED_VALUE"""),23677.0)</f>
        <v>23677</v>
      </c>
      <c r="L324" s="76">
        <f>IFERROR(__xludf.DUMMYFUNCTION("""COMPUTED_VALUE"""),2166.0)</f>
        <v>2166</v>
      </c>
      <c r="M324" s="87">
        <f t="shared" si="15"/>
        <v>25843</v>
      </c>
      <c r="Q324" s="56"/>
      <c r="R324" s="56"/>
      <c r="S324" s="56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70" t="str">
        <f>IFERROR(__xludf.DUMMYFUNCTION("""COMPUTED_VALUE"""),"2020 Q2")</f>
        <v>2020 Q2</v>
      </c>
      <c r="K325" s="64">
        <f>IFERROR(__xludf.DUMMYFUNCTION("""COMPUTED_VALUE"""),17489.0)</f>
        <v>17489</v>
      </c>
      <c r="L325" s="64">
        <f>IFERROR(__xludf.DUMMYFUNCTION("""COMPUTED_VALUE"""),13025.0)</f>
        <v>13025</v>
      </c>
      <c r="M325" s="65">
        <f t="shared" si="15"/>
        <v>30514</v>
      </c>
      <c r="Q325" s="56"/>
      <c r="R325" s="56"/>
      <c r="S325" s="56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70" t="str">
        <f>IFERROR(__xludf.DUMMYFUNCTION("""COMPUTED_VALUE"""),"2020 Q3")</f>
        <v>2020 Q3</v>
      </c>
      <c r="K326" s="64">
        <f>IFERROR(__xludf.DUMMYFUNCTION("""COMPUTED_VALUE"""),22511.0)</f>
        <v>22511</v>
      </c>
      <c r="L326" s="64">
        <f>IFERROR(__xludf.DUMMYFUNCTION("""COMPUTED_VALUE"""),31153.0)</f>
        <v>31153</v>
      </c>
      <c r="M326" s="65">
        <f t="shared" si="15"/>
        <v>53664</v>
      </c>
      <c r="Q326" s="56"/>
      <c r="R326" s="56"/>
      <c r="S326" s="56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79" t="str">
        <f>IFERROR(__xludf.DUMMYFUNCTION("""COMPUTED_VALUE"""),"2020 Q4")</f>
        <v>2020 Q4</v>
      </c>
      <c r="K327" s="80">
        <f>IFERROR(__xludf.DUMMYFUNCTION("""COMPUTED_VALUE"""),26091.0)</f>
        <v>26091</v>
      </c>
      <c r="L327" s="80">
        <f>IFERROR(__xludf.DUMMYFUNCTION("""COMPUTED_VALUE"""),37370.0)</f>
        <v>37370</v>
      </c>
      <c r="M327" s="88">
        <f t="shared" si="15"/>
        <v>63461</v>
      </c>
      <c r="Q327" s="56"/>
      <c r="R327" s="56"/>
      <c r="S327" s="56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82" t="str">
        <f>IFERROR(__xludf.DUMMYFUNCTION("""COMPUTED_VALUE"""),"2021 Q1")</f>
        <v>2021 Q1</v>
      </c>
      <c r="K328" s="83">
        <f>IFERROR(__xludf.DUMMYFUNCTION("""COMPUTED_VALUE"""),25177.0)</f>
        <v>25177</v>
      </c>
      <c r="L328" s="83">
        <f>IFERROR(__xludf.DUMMYFUNCTION("""COMPUTED_VALUE"""),42497.0)</f>
        <v>42497</v>
      </c>
      <c r="M328" s="89">
        <f t="shared" si="15"/>
        <v>67674</v>
      </c>
      <c r="Q328" s="56"/>
      <c r="R328" s="56"/>
      <c r="S328" s="56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82" t="str">
        <f>IFERROR(__xludf.DUMMYFUNCTION("""COMPUTED_VALUE"""),"2021 Q2")</f>
        <v>2021 Q2</v>
      </c>
      <c r="K329" s="83">
        <f>IFERROR(__xludf.DUMMYFUNCTION("""COMPUTED_VALUE"""),28700.0)</f>
        <v>28700</v>
      </c>
      <c r="L329" s="83">
        <f>IFERROR(__xludf.DUMMYFUNCTION("""COMPUTED_VALUE"""),46699.0)</f>
        <v>46699</v>
      </c>
      <c r="M329" s="65">
        <f t="shared" si="15"/>
        <v>75399</v>
      </c>
      <c r="Q329" s="56"/>
      <c r="R329" s="56"/>
      <c r="S329" s="56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70" t="str">
        <f>IFERROR(__xludf.DUMMYFUNCTION("""COMPUTED_VALUE"""),"2021 Q3")</f>
        <v>2021 Q3</v>
      </c>
      <c r="K330" s="64">
        <f>IFERROR(__xludf.DUMMYFUNCTION("""COMPUTED_VALUE"""),46750.0)</f>
        <v>46750</v>
      </c>
      <c r="L330" s="64">
        <f>IFERROR(__xludf.DUMMYFUNCTION("""COMPUTED_VALUE"""),41296.0)</f>
        <v>41296</v>
      </c>
      <c r="M330" s="65">
        <f t="shared" si="15"/>
        <v>88046</v>
      </c>
      <c r="Q330" s="56"/>
      <c r="R330" s="56"/>
      <c r="S330" s="56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72" t="str">
        <f>IFERROR(__xludf.DUMMYFUNCTION("""COMPUTED_VALUE"""),"2021 Q4")</f>
        <v>2021 Q4</v>
      </c>
      <c r="K331" s="73">
        <f>IFERROR(__xludf.DUMMYFUNCTION("""COMPUTED_VALUE"""),52150.0)</f>
        <v>52150</v>
      </c>
      <c r="L331" s="73">
        <f>IFERROR(__xludf.DUMMYFUNCTION("""COMPUTED_VALUE"""),53339.0)</f>
        <v>53339</v>
      </c>
      <c r="M331" s="86">
        <f t="shared" si="15"/>
        <v>105489</v>
      </c>
      <c r="Q331" s="56"/>
      <c r="R331" s="56"/>
      <c r="S331" s="56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75" t="str">
        <f>IFERROR(__xludf.DUMMYFUNCTION("""COMPUTED_VALUE"""),"2022 Q1")</f>
        <v>2022 Q1</v>
      </c>
      <c r="K332" s="76">
        <f>IFERROR(__xludf.DUMMYFUNCTION("""COMPUTED_VALUE"""),46000.0)</f>
        <v>46000</v>
      </c>
      <c r="L332" s="76">
        <f>IFERROR(__xludf.DUMMYFUNCTION("""COMPUTED_VALUE"""),52046.0)</f>
        <v>52046</v>
      </c>
      <c r="M332" s="87">
        <f t="shared" si="15"/>
        <v>98046</v>
      </c>
      <c r="Q332" s="56"/>
      <c r="R332" s="56"/>
      <c r="S332" s="56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70" t="str">
        <f>IFERROR(__xludf.DUMMYFUNCTION("""COMPUTED_VALUE"""),"2022 Q2")</f>
        <v>2022 Q2</v>
      </c>
      <c r="K333" s="64">
        <f>IFERROR(__xludf.DUMMYFUNCTION("""COMPUTED_VALUE"""),47240.0)</f>
        <v>47240</v>
      </c>
      <c r="L333" s="64">
        <f>IFERROR(__xludf.DUMMYFUNCTION("""COMPUTED_VALUE"""),55290.0)</f>
        <v>55290</v>
      </c>
      <c r="M333" s="65">
        <f t="shared" si="15"/>
        <v>102530</v>
      </c>
      <c r="Q333" s="56"/>
      <c r="R333" s="56"/>
      <c r="S333" s="56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70" t="str">
        <f>IFERROR(__xludf.DUMMYFUNCTION("""COMPUTED_VALUE"""),"2022 Q3")</f>
        <v>2022 Q3</v>
      </c>
      <c r="K334" s="64">
        <f>IFERROR(__xludf.DUMMYFUNCTION("""COMPUTED_VALUE"""),52000.0)</f>
        <v>52000</v>
      </c>
      <c r="L334" s="64">
        <f>IFERROR(__xludf.DUMMYFUNCTION("""COMPUTED_VALUE"""),57433.0)</f>
        <v>57433</v>
      </c>
      <c r="M334" s="65">
        <f t="shared" si="15"/>
        <v>109433</v>
      </c>
      <c r="Q334" s="56"/>
      <c r="R334" s="56"/>
      <c r="S334" s="56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79" t="str">
        <f>IFERROR(__xludf.DUMMYFUNCTION("""COMPUTED_VALUE"""),"2022 Q4")</f>
        <v>2022 Q4</v>
      </c>
      <c r="K335" s="80">
        <f>IFERROR(__xludf.DUMMYFUNCTION("""COMPUTED_VALUE"""),54500.0)</f>
        <v>54500</v>
      </c>
      <c r="L335" s="80">
        <f>IFERROR(__xludf.DUMMYFUNCTION("""COMPUTED_VALUE"""),86052.0)</f>
        <v>86052</v>
      </c>
      <c r="M335" s="88">
        <f t="shared" si="15"/>
        <v>140552</v>
      </c>
      <c r="Q335" s="56"/>
      <c r="R335" s="56"/>
      <c r="S335" s="56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82" t="str">
        <f>IFERROR(__xludf.DUMMYFUNCTION("""COMPUTED_VALUE"""),"2023 Q1")</f>
        <v>2023 Q1</v>
      </c>
      <c r="K336" s="83">
        <f>IFERROR(__xludf.DUMMYFUNCTION("""COMPUTED_VALUE"""),56000.0)</f>
        <v>56000</v>
      </c>
      <c r="L336" s="83">
        <f>IFERROR(__xludf.DUMMYFUNCTION("""COMPUTED_VALUE"""),88228.0)</f>
        <v>88228</v>
      </c>
      <c r="M336" s="89">
        <f t="shared" si="15"/>
        <v>144228</v>
      </c>
      <c r="Q336" s="56"/>
      <c r="R336" s="56"/>
      <c r="S336" s="56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70" t="str">
        <f>IFERROR(__xludf.DUMMYFUNCTION("""COMPUTED_VALUE"""),"2023 Q2")</f>
        <v>2023 Q2</v>
      </c>
      <c r="K337" s="64">
        <f>IFERROR(__xludf.DUMMYFUNCTION("""COMPUTED_VALUE"""),59000.0)</f>
        <v>59000</v>
      </c>
      <c r="L337" s="64">
        <f>IFERROR(__xludf.DUMMYFUNCTION("""COMPUTED_VALUE"""),99140.0)</f>
        <v>99140</v>
      </c>
      <c r="M337" s="65">
        <f t="shared" si="15"/>
        <v>158140</v>
      </c>
      <c r="Q337" s="56"/>
      <c r="R337" s="56"/>
      <c r="S337" s="56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70" t="str">
        <f>IFERROR(__xludf.DUMMYFUNCTION("""COMPUTED_VALUE"""),"2023 Q3")</f>
        <v>2023 Q3</v>
      </c>
      <c r="K338" s="64">
        <f>IFERROR(__xludf.DUMMYFUNCTION("""COMPUTED_VALUE"""),54000.0)</f>
        <v>54000</v>
      </c>
      <c r="L338" s="64">
        <f>IFERROR(__xludf.DUMMYFUNCTION("""COMPUTED_VALUE"""),90051.0)</f>
        <v>90051</v>
      </c>
      <c r="M338" s="65">
        <f t="shared" si="15"/>
        <v>144051</v>
      </c>
      <c r="Q338" s="56"/>
      <c r="R338" s="56"/>
      <c r="S338" s="56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72" t="str">
        <f>IFERROR(__xludf.DUMMYFUNCTION("""COMPUTED_VALUE"""),"2023 Q4")</f>
        <v>2023 Q4</v>
      </c>
      <c r="K339" s="73">
        <f>IFERROR(__xludf.DUMMYFUNCTION("""COMPUTED_VALUE"""),50000.0)</f>
        <v>50000</v>
      </c>
      <c r="L339" s="73">
        <f>IFERROR(__xludf.DUMMYFUNCTION("""COMPUTED_VALUE"""),107614.0)</f>
        <v>107614</v>
      </c>
      <c r="M339" s="86">
        <f t="shared" si="15"/>
        <v>157614</v>
      </c>
      <c r="Q339" s="56"/>
      <c r="R339" s="56"/>
      <c r="S339" s="56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75" t="str">
        <f>IFERROR(__xludf.DUMMYFUNCTION("""COMPUTED_VALUE"""),"2024 Q1")</f>
        <v>2024 Q1</v>
      </c>
      <c r="K340" s="76">
        <f>IFERROR(__xludf.DUMMYFUNCTION("""COMPUTED_VALUE"""),23000.0)</f>
        <v>23000</v>
      </c>
      <c r="L340" s="76">
        <f>IFERROR(__xludf.DUMMYFUNCTION("""COMPUTED_VALUE"""),87260.0)</f>
        <v>87260</v>
      </c>
      <c r="M340" s="87">
        <f t="shared" si="15"/>
        <v>110260</v>
      </c>
      <c r="Q340" s="56"/>
      <c r="R340" s="56"/>
      <c r="S340" s="56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70" t="str">
        <f>IFERROR(__xludf.DUMMYFUNCTION("""COMPUTED_VALUE"""),"2024 Q2")</f>
        <v>2024 Q2</v>
      </c>
      <c r="K341" s="64">
        <f>IFERROR(__xludf.DUMMYFUNCTION("""COMPUTED_VALUE"""),45000.0)</f>
        <v>45000</v>
      </c>
      <c r="L341" s="64">
        <f>IFERROR(__xludf.DUMMYFUNCTION("""COMPUTED_VALUE"""),105028.0)</f>
        <v>105028</v>
      </c>
      <c r="M341" s="65">
        <f t="shared" si="15"/>
        <v>150028</v>
      </c>
      <c r="Q341" s="56"/>
      <c r="R341" s="56"/>
      <c r="S341" s="56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70" t="str">
        <f>IFERROR(__xludf.DUMMYFUNCTION("""COMPUTED_VALUE"""),"2024 Q3")</f>
        <v>2024 Q3</v>
      </c>
      <c r="K342" s="64">
        <f>IFERROR(__xludf.DUMMYFUNCTION("""COMPUTED_VALUE"""),51000.0)</f>
        <v>51000</v>
      </c>
      <c r="L342" s="64">
        <f>IFERROR(__xludf.DUMMYFUNCTION("""COMPUTED_VALUE"""),84385.0)</f>
        <v>84385</v>
      </c>
      <c r="M342" s="65">
        <f t="shared" si="15"/>
        <v>135385</v>
      </c>
      <c r="Q342" s="56"/>
      <c r="R342" s="56"/>
      <c r="S342" s="56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79" t="str">
        <f>IFERROR(__xludf.DUMMYFUNCTION("""COMPUTED_VALUE"""),"2024 Q4")</f>
        <v>2024 Q4</v>
      </c>
      <c r="K343" s="80">
        <f>IFERROR(__xludf.DUMMYFUNCTION("""COMPUTED_VALUE"""),56000.0)</f>
        <v>56000</v>
      </c>
      <c r="L343" s="80">
        <f>IFERROR(__xludf.DUMMYFUNCTION("""COMPUTED_VALUE"""),95351.0)</f>
        <v>95351</v>
      </c>
      <c r="M343" s="88">
        <f t="shared" si="15"/>
        <v>151351</v>
      </c>
      <c r="Q343" s="56"/>
      <c r="R343" s="56"/>
      <c r="S343" s="56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82" t="str">
        <f>IFERROR(__xludf.DUMMYFUNCTION("""COMPUTED_VALUE"""),"2025 Q1")</f>
        <v>2025 Q1</v>
      </c>
      <c r="K344" s="83">
        <f>IFERROR(__xludf.DUMMYFUNCTION("""COMPUTED_VALUE"""),50640.0)</f>
        <v>50640</v>
      </c>
      <c r="L344" s="83">
        <f>IFERROR(__xludf.DUMMYFUNCTION("""COMPUTED_VALUE"""),58590.0)</f>
        <v>58590</v>
      </c>
      <c r="M344" s="89">
        <f t="shared" si="15"/>
        <v>109230</v>
      </c>
      <c r="Q344" s="56"/>
      <c r="R344" s="56"/>
      <c r="S344" s="56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82" t="str">
        <f>IFERROR(__xludf.DUMMYFUNCTION("""COMPUTED_VALUE"""),"2025 Q2")</f>
        <v>2025 Q2</v>
      </c>
      <c r="K345" s="83">
        <f>IFERROR(__xludf.DUMMYFUNCTION("""COMPUTED_VALUE"""),49000.0)</f>
        <v>49000</v>
      </c>
      <c r="L345" s="83">
        <f>IFERROR(__xludf.DUMMYFUNCTION("""COMPUTED_VALUE"""),90802.0)</f>
        <v>90802</v>
      </c>
      <c r="M345" s="65">
        <f t="shared" si="15"/>
        <v>139802</v>
      </c>
      <c r="Q345" s="56"/>
      <c r="R345" s="56"/>
      <c r="S345" s="56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70" t="str">
        <f>IFERROR(__xludf.DUMMYFUNCTION("""COMPUTED_VALUE"""),"2025 Q3")</f>
        <v>2025 Q3</v>
      </c>
      <c r="K346" s="64">
        <f>IFERROR(__xludf.DUMMYFUNCTION("""COMPUTED_VALUE"""),45000.0)</f>
        <v>45000</v>
      </c>
      <c r="L346" s="64">
        <f>IFERROR(__xludf.DUMMYFUNCTION("""COMPUTED_VALUE"""),134950.0)</f>
        <v>134950</v>
      </c>
      <c r="M346" s="65">
        <f t="shared" si="15"/>
        <v>179950</v>
      </c>
      <c r="Q346" s="56"/>
      <c r="R346" s="56"/>
      <c r="S346" s="56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70" t="str">
        <f>IFERROR(__xludf.DUMMYFUNCTION("""COMPUTED_VALUE"""),"2025 Q4")</f>
        <v>2025 Q4</v>
      </c>
      <c r="K347" s="64">
        <f>IFERROR(__xludf.DUMMYFUNCTION("""COMPUTED_VALUE"""),22170.0)</f>
        <v>22170</v>
      </c>
      <c r="L347" s="64">
        <f>IFERROR(__xludf.DUMMYFUNCTION("""COMPUTED_VALUE"""),78093.0)</f>
        <v>78093</v>
      </c>
      <c r="M347" s="65">
        <f t="shared" si="15"/>
        <v>100263</v>
      </c>
      <c r="Q347" s="56"/>
      <c r="R347" s="56"/>
      <c r="S347" s="56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85" t="s">
        <v>1</v>
      </c>
      <c r="K348" s="69">
        <f t="shared" ref="K348:L348" si="16">sum(K314:K347)</f>
        <v>1299275</v>
      </c>
      <c r="L348" s="69">
        <f t="shared" si="16"/>
        <v>1637858</v>
      </c>
      <c r="M348" s="65">
        <f t="shared" si="15"/>
        <v>2937133</v>
      </c>
      <c r="Q348" s="56"/>
      <c r="R348" s="56"/>
      <c r="S348" s="56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6"/>
      <c r="L349" s="56"/>
      <c r="M349" s="56"/>
      <c r="N349" s="56"/>
      <c r="O349" s="56"/>
      <c r="P349" s="56"/>
      <c r="Q349" s="56"/>
      <c r="R349" s="56"/>
      <c r="S349" s="56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6"/>
      <c r="L350" s="56"/>
      <c r="M350" s="56"/>
      <c r="N350" s="56"/>
      <c r="O350" s="56"/>
      <c r="P350" s="56"/>
      <c r="Q350" s="56"/>
      <c r="R350" s="56"/>
      <c r="S350" s="56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6"/>
      <c r="L351" s="56"/>
      <c r="M351" s="56"/>
      <c r="N351" s="56"/>
      <c r="O351" s="56"/>
      <c r="P351" s="56"/>
      <c r="Q351" s="56"/>
      <c r="R351" s="56"/>
      <c r="S351" s="56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7" t="s">
        <v>97</v>
      </c>
      <c r="K352" s="58"/>
      <c r="L352" s="58"/>
      <c r="M352" s="59"/>
      <c r="Q352" s="56"/>
      <c r="R352" s="56"/>
      <c r="S352" s="56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93" t="str">
        <f>IFERROR(__xludf.DUMMYFUNCTION("query({Delivery_Data!$A:$I},""select Col3,sum(Col8) where Col3&lt;&gt;'' and (Col4='Model 3' or Col4='Model Y') and Col6='China' and Col8 is not null group by Col3 pivot Col4"",1)"),"Quarter")</f>
        <v>Quarter</v>
      </c>
      <c r="K353" s="94" t="str">
        <f>IFERROR(__xludf.DUMMYFUNCTION("""COMPUTED_VALUE"""),"Model 3")</f>
        <v>Model 3</v>
      </c>
      <c r="L353" s="94" t="str">
        <f>IFERROR(__xludf.DUMMYFUNCTION("""COMPUTED_VALUE"""),"Model Y")</f>
        <v>Model Y</v>
      </c>
      <c r="M353" s="95" t="s">
        <v>1</v>
      </c>
      <c r="Q353" s="56"/>
      <c r="R353" s="56"/>
      <c r="S353" s="56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70" t="str">
        <f>IFERROR(__xludf.DUMMYFUNCTION("""COMPUTED_VALUE"""),"2019 Q1")</f>
        <v>2019 Q1</v>
      </c>
      <c r="K354" s="64">
        <f>IFERROR(__xludf.DUMMYFUNCTION("""COMPUTED_VALUE"""),3738.0)</f>
        <v>3738</v>
      </c>
      <c r="L354" s="64"/>
      <c r="M354" s="65">
        <f t="shared" ref="M354:M382" si="17">sum(K354:L354)</f>
        <v>3738</v>
      </c>
      <c r="Q354" s="56"/>
      <c r="R354" s="56"/>
      <c r="S354" s="56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70" t="str">
        <f>IFERROR(__xludf.DUMMYFUNCTION("""COMPUTED_VALUE"""),"2019 Q2")</f>
        <v>2019 Q2</v>
      </c>
      <c r="K355" s="64">
        <f>IFERROR(__xludf.DUMMYFUNCTION("""COMPUTED_VALUE"""),8139.0)</f>
        <v>8139</v>
      </c>
      <c r="L355" s="64"/>
      <c r="M355" s="65">
        <f t="shared" si="17"/>
        <v>8139</v>
      </c>
      <c r="Q355" s="56"/>
      <c r="R355" s="56"/>
      <c r="S355" s="56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70" t="str">
        <f>IFERROR(__xludf.DUMMYFUNCTION("""COMPUTED_VALUE"""),"2019 Q3")</f>
        <v>2019 Q3</v>
      </c>
      <c r="K356" s="64">
        <f>IFERROR(__xludf.DUMMYFUNCTION("""COMPUTED_VALUE"""),7576.0)</f>
        <v>7576</v>
      </c>
      <c r="L356" s="64"/>
      <c r="M356" s="65">
        <f t="shared" si="17"/>
        <v>7576</v>
      </c>
      <c r="Q356" s="56"/>
      <c r="R356" s="56"/>
      <c r="S356" s="56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72" t="str">
        <f>IFERROR(__xludf.DUMMYFUNCTION("""COMPUTED_VALUE"""),"2019 Q4")</f>
        <v>2019 Q4</v>
      </c>
      <c r="K357" s="73">
        <f>IFERROR(__xludf.DUMMYFUNCTION("""COMPUTED_VALUE"""),9821.0)</f>
        <v>9821</v>
      </c>
      <c r="L357" s="73"/>
      <c r="M357" s="86">
        <f t="shared" si="17"/>
        <v>9821</v>
      </c>
      <c r="Q357" s="56"/>
      <c r="R357" s="56"/>
      <c r="S357" s="56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75" t="str">
        <f>IFERROR(__xludf.DUMMYFUNCTION("""COMPUTED_VALUE"""),"2020 Q1")</f>
        <v>2020 Q1</v>
      </c>
      <c r="K358" s="76">
        <f>IFERROR(__xludf.DUMMYFUNCTION("""COMPUTED_VALUE"""),18115.0)</f>
        <v>18115</v>
      </c>
      <c r="L358" s="76"/>
      <c r="M358" s="87">
        <f t="shared" si="17"/>
        <v>18115</v>
      </c>
      <c r="Q358" s="56"/>
      <c r="R358" s="56"/>
      <c r="S358" s="56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70" t="str">
        <f>IFERROR(__xludf.DUMMYFUNCTION("""COMPUTED_VALUE"""),"2020 Q2")</f>
        <v>2020 Q2</v>
      </c>
      <c r="K359" s="64">
        <f>IFERROR(__xludf.DUMMYFUNCTION("""COMPUTED_VALUE"""),29990.0)</f>
        <v>29990</v>
      </c>
      <c r="L359" s="64"/>
      <c r="M359" s="65">
        <f t="shared" si="17"/>
        <v>29990</v>
      </c>
      <c r="Q359" s="56"/>
      <c r="R359" s="56"/>
      <c r="S359" s="56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70" t="str">
        <f>IFERROR(__xludf.DUMMYFUNCTION("""COMPUTED_VALUE"""),"2020 Q3")</f>
        <v>2020 Q3</v>
      </c>
      <c r="K360" s="64">
        <f>IFERROR(__xludf.DUMMYFUNCTION("""COMPUTED_VALUE"""),34246.0)</f>
        <v>34246</v>
      </c>
      <c r="L360" s="64"/>
      <c r="M360" s="65">
        <f t="shared" si="17"/>
        <v>34246</v>
      </c>
      <c r="Q360" s="56"/>
      <c r="R360" s="56"/>
      <c r="S360" s="56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79" t="str">
        <f>IFERROR(__xludf.DUMMYFUNCTION("""COMPUTED_VALUE"""),"2020 Q4")</f>
        <v>2020 Q4</v>
      </c>
      <c r="K361" s="80">
        <f>IFERROR(__xludf.DUMMYFUNCTION("""COMPUTED_VALUE"""),57586.0)</f>
        <v>57586</v>
      </c>
      <c r="L361" s="80"/>
      <c r="M361" s="88">
        <f t="shared" si="17"/>
        <v>57586</v>
      </c>
      <c r="Q361" s="56"/>
      <c r="R361" s="56"/>
      <c r="S361" s="56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82" t="str">
        <f>IFERROR(__xludf.DUMMYFUNCTION("""COMPUTED_VALUE"""),"2021 Q1")</f>
        <v>2021 Q1</v>
      </c>
      <c r="K362" s="83">
        <f>IFERROR(__xludf.DUMMYFUNCTION("""COMPUTED_VALUE"""),52858.0)</f>
        <v>52858</v>
      </c>
      <c r="L362" s="83">
        <f>IFERROR(__xludf.DUMMYFUNCTION("""COMPUTED_VALUE"""),16422.0)</f>
        <v>16422</v>
      </c>
      <c r="M362" s="89">
        <f t="shared" si="17"/>
        <v>69280</v>
      </c>
      <c r="Q362" s="56"/>
      <c r="R362" s="56"/>
      <c r="S362" s="56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70" t="str">
        <f>IFERROR(__xludf.DUMMYFUNCTION("""COMPUTED_VALUE"""),"2021 Q2")</f>
        <v>2021 Q2</v>
      </c>
      <c r="K363" s="64">
        <f>IFERROR(__xludf.DUMMYFUNCTION("""COMPUTED_VALUE"""),31987.0)</f>
        <v>31987</v>
      </c>
      <c r="L363" s="64">
        <f>IFERROR(__xludf.DUMMYFUNCTION("""COMPUTED_VALUE"""),29758.0)</f>
        <v>29758</v>
      </c>
      <c r="M363" s="65">
        <f t="shared" si="17"/>
        <v>61745</v>
      </c>
      <c r="Q363" s="56"/>
      <c r="R363" s="56"/>
      <c r="S363" s="56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70" t="str">
        <f>IFERROR(__xludf.DUMMYFUNCTION("""COMPUTED_VALUE"""),"2021 Q3")</f>
        <v>2021 Q3</v>
      </c>
      <c r="K364" s="64">
        <f>IFERROR(__xludf.DUMMYFUNCTION("""COMPUTED_VALUE"""),26906.0)</f>
        <v>26906</v>
      </c>
      <c r="L364" s="64">
        <f>IFERROR(__xludf.DUMMYFUNCTION("""COMPUTED_VALUE"""),46753.0)</f>
        <v>46753</v>
      </c>
      <c r="M364" s="65">
        <f t="shared" si="17"/>
        <v>73659</v>
      </c>
      <c r="Q364" s="56"/>
      <c r="R364" s="56"/>
      <c r="S364" s="56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72" t="str">
        <f>IFERROR(__xludf.DUMMYFUNCTION("""COMPUTED_VALUE"""),"2021 Q4")</f>
        <v>2021 Q4</v>
      </c>
      <c r="K365" s="73">
        <f>IFERROR(__xludf.DUMMYFUNCTION("""COMPUTED_VALUE"""),39139.0)</f>
        <v>39139</v>
      </c>
      <c r="L365" s="73">
        <f>IFERROR(__xludf.DUMMYFUNCTION("""COMPUTED_VALUE"""),76920.0)</f>
        <v>76920</v>
      </c>
      <c r="M365" s="86">
        <f t="shared" si="17"/>
        <v>116059</v>
      </c>
      <c r="Q365" s="56"/>
      <c r="R365" s="56"/>
      <c r="S365" s="56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75" t="str">
        <f>IFERROR(__xludf.DUMMYFUNCTION("""COMPUTED_VALUE"""),"2022 Q1")</f>
        <v>2022 Q1</v>
      </c>
      <c r="K366" s="76">
        <f>IFERROR(__xludf.DUMMYFUNCTION("""COMPUTED_VALUE"""),33619.0)</f>
        <v>33619</v>
      </c>
      <c r="L366" s="76">
        <f>IFERROR(__xludf.DUMMYFUNCTION("""COMPUTED_VALUE"""),74681.0)</f>
        <v>74681</v>
      </c>
      <c r="M366" s="87">
        <f t="shared" si="17"/>
        <v>108300</v>
      </c>
      <c r="Q366" s="56"/>
      <c r="R366" s="56"/>
      <c r="S366" s="56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70" t="str">
        <f>IFERROR(__xludf.DUMMYFUNCTION("""COMPUTED_VALUE"""),"2022 Q2")</f>
        <v>2022 Q2</v>
      </c>
      <c r="K367" s="64">
        <f>IFERROR(__xludf.DUMMYFUNCTION("""COMPUTED_VALUE"""),30290.0)</f>
        <v>30290</v>
      </c>
      <c r="L367" s="64">
        <f>IFERROR(__xludf.DUMMYFUNCTION("""COMPUTED_VALUE"""),58985.0)</f>
        <v>58985</v>
      </c>
      <c r="M367" s="65">
        <f t="shared" si="17"/>
        <v>89275</v>
      </c>
      <c r="Q367" s="56"/>
      <c r="R367" s="56"/>
      <c r="S367" s="56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70" t="str">
        <f>IFERROR(__xludf.DUMMYFUNCTION("""COMPUTED_VALUE"""),"2022 Q3")</f>
        <v>2022 Q3</v>
      </c>
      <c r="K368" s="64">
        <f>IFERROR(__xludf.DUMMYFUNCTION("""COMPUTED_VALUE"""),35130.0)</f>
        <v>35130</v>
      </c>
      <c r="L368" s="64">
        <f>IFERROR(__xludf.DUMMYFUNCTION("""COMPUTED_VALUE"""),85446.0)</f>
        <v>85446</v>
      </c>
      <c r="M368" s="65">
        <f t="shared" si="17"/>
        <v>120576</v>
      </c>
      <c r="Q368" s="56"/>
      <c r="R368" s="56"/>
      <c r="S368" s="56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79" t="str">
        <f>IFERROR(__xludf.DUMMYFUNCTION("""COMPUTED_VALUE"""),"2022 Q4")</f>
        <v>2022 Q4</v>
      </c>
      <c r="K369" s="80">
        <f>IFERROR(__xludf.DUMMYFUNCTION("""COMPUTED_VALUE"""),25417.0)</f>
        <v>25417</v>
      </c>
      <c r="L369" s="80">
        <f>IFERROR(__xludf.DUMMYFUNCTION("""COMPUTED_VALUE"""),96202.0)</f>
        <v>96202</v>
      </c>
      <c r="M369" s="88">
        <f t="shared" si="17"/>
        <v>121619</v>
      </c>
      <c r="Q369" s="56"/>
      <c r="R369" s="56"/>
      <c r="S369" s="56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82" t="str">
        <f>IFERROR(__xludf.DUMMYFUNCTION("""COMPUTED_VALUE"""),"2023 Q1")</f>
        <v>2023 Q1</v>
      </c>
      <c r="K370" s="83">
        <f>IFERROR(__xludf.DUMMYFUNCTION("""COMPUTED_VALUE"""),42782.0)</f>
        <v>42782</v>
      </c>
      <c r="L370" s="83">
        <f>IFERROR(__xludf.DUMMYFUNCTION("""COMPUTED_VALUE"""),94647.0)</f>
        <v>94647</v>
      </c>
      <c r="M370" s="89">
        <f t="shared" si="17"/>
        <v>137429</v>
      </c>
      <c r="Q370" s="56"/>
      <c r="R370" s="56"/>
      <c r="S370" s="56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70" t="str">
        <f>IFERROR(__xludf.DUMMYFUNCTION("""COMPUTED_VALUE"""),"2023 Q2")</f>
        <v>2023 Q2</v>
      </c>
      <c r="K371" s="64">
        <f>IFERROR(__xludf.DUMMYFUNCTION("""COMPUTED_VALUE"""),47391.0)</f>
        <v>47391</v>
      </c>
      <c r="L371" s="64">
        <f>IFERROR(__xludf.DUMMYFUNCTION("""COMPUTED_VALUE"""),109285.0)</f>
        <v>109285</v>
      </c>
      <c r="M371" s="65">
        <f t="shared" si="17"/>
        <v>156676</v>
      </c>
      <c r="Q371" s="56"/>
      <c r="R371" s="56"/>
      <c r="S371" s="56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70" t="str">
        <f>IFERROR(__xludf.DUMMYFUNCTION("""COMPUTED_VALUE"""),"2023 Q3")</f>
        <v>2023 Q3</v>
      </c>
      <c r="K372" s="64">
        <f>IFERROR(__xludf.DUMMYFUNCTION("""COMPUTED_VALUE"""),23447.0)</f>
        <v>23447</v>
      </c>
      <c r="L372" s="64">
        <f>IFERROR(__xludf.DUMMYFUNCTION("""COMPUTED_VALUE"""),116177.0)</f>
        <v>116177</v>
      </c>
      <c r="M372" s="65">
        <f t="shared" si="17"/>
        <v>139624</v>
      </c>
      <c r="Q372" s="56"/>
      <c r="R372" s="56"/>
      <c r="S372" s="56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72" t="str">
        <f>IFERROR(__xludf.DUMMYFUNCTION("""COMPUTED_VALUE"""),"2023 Q4")</f>
        <v>2023 Q4</v>
      </c>
      <c r="K373" s="73">
        <f>IFERROR(__xludf.DUMMYFUNCTION("""COMPUTED_VALUE"""),33650.0)</f>
        <v>33650</v>
      </c>
      <c r="L373" s="73">
        <f>IFERROR(__xludf.DUMMYFUNCTION("""COMPUTED_VALUE"""),136285.0)</f>
        <v>136285</v>
      </c>
      <c r="M373" s="86">
        <f t="shared" si="17"/>
        <v>169935</v>
      </c>
      <c r="Q373" s="56"/>
      <c r="R373" s="56"/>
      <c r="S373" s="56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75" t="str">
        <f>IFERROR(__xludf.DUMMYFUNCTION("""COMPUTED_VALUE"""),"2024 Q1")</f>
        <v>2024 Q1</v>
      </c>
      <c r="K374" s="76">
        <f>IFERROR(__xludf.DUMMYFUNCTION("""COMPUTED_VALUE"""),32054.0)</f>
        <v>32054</v>
      </c>
      <c r="L374" s="76">
        <f>IFERROR(__xludf.DUMMYFUNCTION("""COMPUTED_VALUE"""),100366.0)</f>
        <v>100366</v>
      </c>
      <c r="M374" s="87">
        <f t="shared" si="17"/>
        <v>132420</v>
      </c>
      <c r="Q374" s="56"/>
      <c r="R374" s="56"/>
      <c r="S374" s="56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70" t="str">
        <f>IFERROR(__xludf.DUMMYFUNCTION("""COMPUTED_VALUE"""),"2024 Q2")</f>
        <v>2024 Q2</v>
      </c>
      <c r="K375" s="64">
        <f>IFERROR(__xludf.DUMMYFUNCTION("""COMPUTED_VALUE"""),38446.0)</f>
        <v>38446</v>
      </c>
      <c r="L375" s="64">
        <f>IFERROR(__xludf.DUMMYFUNCTION("""COMPUTED_VALUE"""),107451.0)</f>
        <v>107451</v>
      </c>
      <c r="M375" s="65">
        <f t="shared" si="17"/>
        <v>145897</v>
      </c>
      <c r="Q375" s="56"/>
      <c r="R375" s="56"/>
      <c r="S375" s="56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70" t="str">
        <f>IFERROR(__xludf.DUMMYFUNCTION("""COMPUTED_VALUE"""),"2024 Q3")</f>
        <v>2024 Q3</v>
      </c>
      <c r="K376" s="64">
        <f>IFERROR(__xludf.DUMMYFUNCTION("""COMPUTED_VALUE"""),52052.0)</f>
        <v>52052</v>
      </c>
      <c r="L376" s="64">
        <f>IFERROR(__xludf.DUMMYFUNCTION("""COMPUTED_VALUE"""),129831.0)</f>
        <v>129831</v>
      </c>
      <c r="M376" s="65">
        <f t="shared" si="17"/>
        <v>181883</v>
      </c>
      <c r="Q376" s="56"/>
      <c r="R376" s="56"/>
      <c r="S376" s="56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79" t="str">
        <f>IFERROR(__xludf.DUMMYFUNCTION("""COMPUTED_VALUE"""),"2024 Q4")</f>
        <v>2024 Q4</v>
      </c>
      <c r="K377" s="80">
        <f>IFERROR(__xludf.DUMMYFUNCTION("""COMPUTED_VALUE"""),54241.0)</f>
        <v>54241</v>
      </c>
      <c r="L377" s="80">
        <f>IFERROR(__xludf.DUMMYFUNCTION("""COMPUTED_VALUE"""),142661.0)</f>
        <v>142661</v>
      </c>
      <c r="M377" s="88">
        <f t="shared" si="17"/>
        <v>196902</v>
      </c>
      <c r="Q377" s="56"/>
      <c r="R377" s="56"/>
      <c r="S377" s="56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82" t="str">
        <f>IFERROR(__xludf.DUMMYFUNCTION("""COMPUTED_VALUE"""),"2025 Q1")</f>
        <v>2025 Q1</v>
      </c>
      <c r="K378" s="83">
        <f>IFERROR(__xludf.DUMMYFUNCTION("""COMPUTED_VALUE"""),52718.0)</f>
        <v>52718</v>
      </c>
      <c r="L378" s="83">
        <f>IFERROR(__xludf.DUMMYFUNCTION("""COMPUTED_VALUE"""),81889.0)</f>
        <v>81889</v>
      </c>
      <c r="M378" s="89">
        <f t="shared" si="17"/>
        <v>134607</v>
      </c>
      <c r="Q378" s="56"/>
      <c r="R378" s="56"/>
      <c r="S378" s="56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82" t="str">
        <f>IFERROR(__xludf.DUMMYFUNCTION("""COMPUTED_VALUE"""),"2025 Q2")</f>
        <v>2025 Q2</v>
      </c>
      <c r="K379" s="83">
        <f>IFERROR(__xludf.DUMMYFUNCTION("""COMPUTED_VALUE"""),39201.0)</f>
        <v>39201</v>
      </c>
      <c r="L379" s="83">
        <f>IFERROR(__xludf.DUMMYFUNCTION("""COMPUTED_VALUE"""),89602.0)</f>
        <v>89602</v>
      </c>
      <c r="M379" s="65">
        <f t="shared" si="17"/>
        <v>128803</v>
      </c>
      <c r="Q379" s="56"/>
      <c r="R379" s="56"/>
      <c r="S379" s="56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82" t="str">
        <f>IFERROR(__xludf.DUMMYFUNCTION("""COMPUTED_VALUE"""),"2025 Q3")</f>
        <v>2025 Q3</v>
      </c>
      <c r="K380" s="83">
        <f>IFERROR(__xludf.DUMMYFUNCTION("""COMPUTED_VALUE"""),47942.0)</f>
        <v>47942</v>
      </c>
      <c r="L380" s="83">
        <f>IFERROR(__xludf.DUMMYFUNCTION("""COMPUTED_VALUE"""),121352.0)</f>
        <v>121352</v>
      </c>
      <c r="M380" s="65">
        <f t="shared" si="17"/>
        <v>169294</v>
      </c>
      <c r="Q380" s="56"/>
      <c r="R380" s="56"/>
      <c r="S380" s="56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70" t="str">
        <f>IFERROR(__xludf.DUMMYFUNCTION("""COMPUTED_VALUE"""),"2025 Q4")</f>
        <v>2025 Q4</v>
      </c>
      <c r="K381" s="64">
        <f>IFERROR(__xludf.DUMMYFUNCTION("""COMPUTED_VALUE"""),60500.0)</f>
        <v>60500</v>
      </c>
      <c r="L381" s="64">
        <f>IFERROR(__xludf.DUMMYFUNCTION("""COMPUTED_VALUE"""),132494.0)</f>
        <v>132494</v>
      </c>
      <c r="M381" s="65">
        <f t="shared" si="17"/>
        <v>192994</v>
      </c>
      <c r="Q381" s="56"/>
      <c r="R381" s="56"/>
      <c r="S381" s="56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85" t="s">
        <v>1</v>
      </c>
      <c r="K382" s="69">
        <f t="shared" ref="K382:L382" si="18">sum(K354:K381)</f>
        <v>968981</v>
      </c>
      <c r="L382" s="69">
        <f t="shared" si="18"/>
        <v>1847207</v>
      </c>
      <c r="M382" s="65">
        <f t="shared" si="17"/>
        <v>2816188</v>
      </c>
      <c r="Q382" s="56"/>
      <c r="R382" s="56"/>
      <c r="S382" s="56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6"/>
      <c r="L383" s="56"/>
      <c r="M383" s="56"/>
      <c r="N383" s="56"/>
      <c r="O383" s="56"/>
      <c r="P383" s="56"/>
      <c r="Q383" s="56"/>
      <c r="R383" s="56"/>
      <c r="S383" s="56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6"/>
      <c r="L384" s="56"/>
      <c r="M384" s="56"/>
      <c r="N384" s="56"/>
      <c r="O384" s="56"/>
      <c r="P384" s="56"/>
      <c r="Q384" s="56"/>
      <c r="R384" s="56"/>
      <c r="S384" s="56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6"/>
      <c r="L385" s="56"/>
      <c r="M385" s="56"/>
      <c r="N385" s="56"/>
      <c r="O385" s="56"/>
      <c r="P385" s="56"/>
      <c r="Q385" s="56"/>
      <c r="R385" s="56"/>
      <c r="S385" s="56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6"/>
      <c r="L386" s="56"/>
      <c r="M386" s="56"/>
      <c r="N386" s="56"/>
      <c r="O386" s="56"/>
      <c r="P386" s="56"/>
      <c r="Q386" s="56"/>
      <c r="R386" s="56"/>
      <c r="S386" s="56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7" t="s">
        <v>98</v>
      </c>
      <c r="K387" s="58"/>
      <c r="L387" s="58"/>
      <c r="M387" s="58"/>
      <c r="N387" s="58"/>
      <c r="O387" s="56"/>
      <c r="P387" s="56"/>
      <c r="Q387" s="56"/>
      <c r="R387" s="56"/>
      <c r="S387" s="56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60" t="str">
        <f>IFERROR(__xludf.DUMMYFUNCTION("query({Delivery_Data!$A:$I},""select Col3,sum(Col8) where Col3&lt;&gt;'' and Col4='Model S/X' and Col8 is not null group by Col3  pivot Col7 "",1)"),"Quarter")</f>
        <v>Quarter</v>
      </c>
      <c r="K388" s="61" t="str">
        <f>IFERROR(__xludf.DUMMYFUNCTION("""COMPUTED_VALUE"""),"APAC")</f>
        <v>APAC</v>
      </c>
      <c r="L388" s="61" t="str">
        <f>IFERROR(__xludf.DUMMYFUNCTION("""COMPUTED_VALUE"""),"Europe")</f>
        <v>Europe</v>
      </c>
      <c r="M388" s="61" t="str">
        <f>IFERROR(__xludf.DUMMYFUNCTION("""COMPUTED_VALUE"""),"North America")</f>
        <v>North America</v>
      </c>
      <c r="N388" s="96" t="s">
        <v>1</v>
      </c>
      <c r="O388" s="56"/>
      <c r="P388" s="56"/>
      <c r="Q388" s="56"/>
      <c r="R388" s="56"/>
      <c r="S388" s="56"/>
    </row>
    <row r="389" hidden="1">
      <c r="A389" s="55"/>
      <c r="B389" s="55"/>
      <c r="C389" s="55"/>
      <c r="D389" s="55"/>
      <c r="E389" s="55"/>
      <c r="F389" s="55"/>
      <c r="G389" s="55"/>
      <c r="H389" s="55"/>
      <c r="I389" s="55"/>
      <c r="J389" s="70" t="str">
        <f>IFERROR(__xludf.DUMMYFUNCTION("""COMPUTED_VALUE"""),"2012 Q3")</f>
        <v>2012 Q3</v>
      </c>
      <c r="K389" s="64"/>
      <c r="L389" s="64"/>
      <c r="M389" s="64">
        <f>IFERROR(__xludf.DUMMYFUNCTION("""COMPUTED_VALUE"""),253.0)</f>
        <v>253</v>
      </c>
      <c r="N389" s="65">
        <f t="shared" ref="N389:N442" si="19">sum(K389:M389)</f>
        <v>253</v>
      </c>
      <c r="O389" s="56"/>
      <c r="P389" s="56"/>
      <c r="Q389" s="56"/>
      <c r="R389" s="56"/>
      <c r="S389" s="56"/>
    </row>
    <row r="390" hidden="1">
      <c r="A390" s="55"/>
      <c r="B390" s="55"/>
      <c r="C390" s="55"/>
      <c r="D390" s="55"/>
      <c r="E390" s="55"/>
      <c r="F390" s="55"/>
      <c r="G390" s="55"/>
      <c r="H390" s="55"/>
      <c r="I390" s="55"/>
      <c r="J390" s="70" t="str">
        <f>IFERROR(__xludf.DUMMYFUNCTION("""COMPUTED_VALUE"""),"2012 Q4")</f>
        <v>2012 Q4</v>
      </c>
      <c r="K390" s="64"/>
      <c r="L390" s="64"/>
      <c r="M390" s="64">
        <f>IFERROR(__xludf.DUMMYFUNCTION("""COMPUTED_VALUE"""),2397.0)</f>
        <v>2397</v>
      </c>
      <c r="N390" s="65">
        <f t="shared" si="19"/>
        <v>2397</v>
      </c>
      <c r="O390" s="56"/>
      <c r="P390" s="56"/>
      <c r="Q390" s="56"/>
      <c r="R390" s="56"/>
      <c r="S390" s="56"/>
    </row>
    <row r="391" hidden="1">
      <c r="A391" s="55"/>
      <c r="B391" s="55"/>
      <c r="C391" s="55"/>
      <c r="D391" s="55"/>
      <c r="E391" s="55"/>
      <c r="F391" s="55"/>
      <c r="G391" s="55"/>
      <c r="H391" s="55"/>
      <c r="I391" s="55"/>
      <c r="J391" s="70" t="str">
        <f>IFERROR(__xludf.DUMMYFUNCTION("""COMPUTED_VALUE"""),"2013 Q1")</f>
        <v>2013 Q1</v>
      </c>
      <c r="K391" s="64"/>
      <c r="L391" s="64"/>
      <c r="M391" s="64">
        <f>IFERROR(__xludf.DUMMYFUNCTION("""COMPUTED_VALUE"""),4911.0)</f>
        <v>4911</v>
      </c>
      <c r="N391" s="65">
        <f t="shared" si="19"/>
        <v>4911</v>
      </c>
      <c r="O391" s="56"/>
      <c r="P391" s="56"/>
      <c r="Q391" s="56"/>
      <c r="R391" s="56"/>
      <c r="S391" s="56"/>
    </row>
    <row r="392" hidden="1">
      <c r="A392" s="55"/>
      <c r="B392" s="55"/>
      <c r="C392" s="55"/>
      <c r="D392" s="55"/>
      <c r="E392" s="55"/>
      <c r="F392" s="55"/>
      <c r="G392" s="55"/>
      <c r="H392" s="55"/>
      <c r="I392" s="55"/>
      <c r="J392" s="70" t="str">
        <f>IFERROR(__xludf.DUMMYFUNCTION("""COMPUTED_VALUE"""),"2013 Q2")</f>
        <v>2013 Q2</v>
      </c>
      <c r="K392" s="64"/>
      <c r="L392" s="64"/>
      <c r="M392" s="64">
        <f>IFERROR(__xludf.DUMMYFUNCTION("""COMPUTED_VALUE"""),5162.0)</f>
        <v>5162</v>
      </c>
      <c r="N392" s="65">
        <f t="shared" si="19"/>
        <v>5162</v>
      </c>
      <c r="O392" s="56"/>
      <c r="P392" s="56"/>
      <c r="Q392" s="56"/>
      <c r="R392" s="56"/>
      <c r="S392" s="56"/>
    </row>
    <row r="393" hidden="1">
      <c r="A393" s="55"/>
      <c r="B393" s="55"/>
      <c r="C393" s="55"/>
      <c r="D393" s="55"/>
      <c r="E393" s="55"/>
      <c r="F393" s="55"/>
      <c r="G393" s="55"/>
      <c r="H393" s="55"/>
      <c r="I393" s="55"/>
      <c r="J393" s="70" t="str">
        <f>IFERROR(__xludf.DUMMYFUNCTION("""COMPUTED_VALUE"""),"2013 Q3")</f>
        <v>2013 Q3</v>
      </c>
      <c r="K393" s="64"/>
      <c r="L393" s="64">
        <f>IFERROR(__xludf.DUMMYFUNCTION("""COMPUTED_VALUE"""),1224.0)</f>
        <v>1224</v>
      </c>
      <c r="M393" s="64">
        <f>IFERROR(__xludf.DUMMYFUNCTION("""COMPUTED_VALUE"""),4288.0)</f>
        <v>4288</v>
      </c>
      <c r="N393" s="65">
        <f t="shared" si="19"/>
        <v>5512</v>
      </c>
      <c r="O393" s="56"/>
      <c r="P393" s="56"/>
      <c r="Q393" s="56"/>
      <c r="R393" s="56"/>
      <c r="S393" s="56"/>
    </row>
    <row r="394" hidden="1">
      <c r="A394" s="55"/>
      <c r="B394" s="55"/>
      <c r="C394" s="55"/>
      <c r="D394" s="55"/>
      <c r="E394" s="55"/>
      <c r="F394" s="55"/>
      <c r="G394" s="55"/>
      <c r="H394" s="55"/>
      <c r="I394" s="55"/>
      <c r="J394" s="70" t="str">
        <f>IFERROR(__xludf.DUMMYFUNCTION("""COMPUTED_VALUE"""),"2013 Q4")</f>
        <v>2013 Q4</v>
      </c>
      <c r="K394" s="64"/>
      <c r="L394" s="64">
        <f>IFERROR(__xludf.DUMMYFUNCTION("""COMPUTED_VALUE"""),2669.0)</f>
        <v>2669</v>
      </c>
      <c r="M394" s="64">
        <f>IFERROR(__xludf.DUMMYFUNCTION("""COMPUTED_VALUE"""),4223.0)</f>
        <v>4223</v>
      </c>
      <c r="N394" s="65">
        <f t="shared" si="19"/>
        <v>6892</v>
      </c>
      <c r="O394" s="56"/>
      <c r="P394" s="56"/>
      <c r="Q394" s="56"/>
      <c r="R394" s="56"/>
      <c r="S394" s="56"/>
    </row>
    <row r="395" hidden="1">
      <c r="A395" s="55"/>
      <c r="B395" s="55"/>
      <c r="C395" s="55"/>
      <c r="D395" s="55"/>
      <c r="E395" s="55"/>
      <c r="F395" s="55"/>
      <c r="G395" s="55"/>
      <c r="H395" s="55"/>
      <c r="I395" s="55"/>
      <c r="J395" s="70" t="str">
        <f>IFERROR(__xludf.DUMMYFUNCTION("""COMPUTED_VALUE"""),"2014 Q1")</f>
        <v>2014 Q1</v>
      </c>
      <c r="K395" s="64">
        <f>IFERROR(__xludf.DUMMYFUNCTION("""COMPUTED_VALUE"""),3.0)</f>
        <v>3</v>
      </c>
      <c r="L395" s="64">
        <f>IFERROR(__xludf.DUMMYFUNCTION("""COMPUTED_VALUE"""),3073.0)</f>
        <v>3073</v>
      </c>
      <c r="M395" s="64">
        <f>IFERROR(__xludf.DUMMYFUNCTION("""COMPUTED_VALUE"""),3381.0)</f>
        <v>3381</v>
      </c>
      <c r="N395" s="65">
        <f t="shared" si="19"/>
        <v>6457</v>
      </c>
      <c r="O395" s="56"/>
      <c r="P395" s="56"/>
      <c r="Q395" s="56"/>
      <c r="R395" s="56"/>
      <c r="S395" s="56"/>
    </row>
    <row r="396" hidden="1">
      <c r="A396" s="55"/>
      <c r="B396" s="55"/>
      <c r="C396" s="55"/>
      <c r="D396" s="55"/>
      <c r="E396" s="55"/>
      <c r="F396" s="55"/>
      <c r="G396" s="55"/>
      <c r="H396" s="55"/>
      <c r="I396" s="55"/>
      <c r="J396" s="70" t="str">
        <f>IFERROR(__xludf.DUMMYFUNCTION("""COMPUTED_VALUE"""),"2014 Q2")</f>
        <v>2014 Q2</v>
      </c>
      <c r="K396" s="64">
        <f>IFERROR(__xludf.DUMMYFUNCTION("""COMPUTED_VALUE"""),1543.0)</f>
        <v>1543</v>
      </c>
      <c r="L396" s="64">
        <f>IFERROR(__xludf.DUMMYFUNCTION("""COMPUTED_VALUE"""),2519.0)</f>
        <v>2519</v>
      </c>
      <c r="M396" s="64">
        <f>IFERROR(__xludf.DUMMYFUNCTION("""COMPUTED_VALUE"""),3517.0)</f>
        <v>3517</v>
      </c>
      <c r="N396" s="65">
        <f t="shared" si="19"/>
        <v>7579</v>
      </c>
      <c r="O396" s="56"/>
      <c r="P396" s="56"/>
      <c r="Q396" s="56"/>
      <c r="R396" s="56"/>
      <c r="S396" s="56"/>
    </row>
    <row r="397" hidden="1">
      <c r="A397" s="55"/>
      <c r="B397" s="55"/>
      <c r="C397" s="55"/>
      <c r="D397" s="55"/>
      <c r="E397" s="55"/>
      <c r="F397" s="55"/>
      <c r="G397" s="55"/>
      <c r="H397" s="55"/>
      <c r="I397" s="55"/>
      <c r="J397" s="70" t="str">
        <f>IFERROR(__xludf.DUMMYFUNCTION("""COMPUTED_VALUE"""),"2014 Q3")</f>
        <v>2014 Q3</v>
      </c>
      <c r="K397" s="64">
        <f>IFERROR(__xludf.DUMMYFUNCTION("""COMPUTED_VALUE"""),1188.0)</f>
        <v>1188</v>
      </c>
      <c r="L397" s="64">
        <f>IFERROR(__xludf.DUMMYFUNCTION("""COMPUTED_VALUE"""),1653.0)</f>
        <v>1653</v>
      </c>
      <c r="M397" s="64">
        <f>IFERROR(__xludf.DUMMYFUNCTION("""COMPUTED_VALUE"""),4944.0)</f>
        <v>4944</v>
      </c>
      <c r="N397" s="65">
        <f t="shared" si="19"/>
        <v>7785</v>
      </c>
      <c r="O397" s="56"/>
      <c r="P397" s="56"/>
      <c r="Q397" s="56"/>
      <c r="R397" s="56"/>
      <c r="S397" s="56"/>
    </row>
    <row r="398" hidden="1">
      <c r="A398" s="55"/>
      <c r="B398" s="55"/>
      <c r="C398" s="55"/>
      <c r="D398" s="55"/>
      <c r="E398" s="55"/>
      <c r="F398" s="55"/>
      <c r="G398" s="55"/>
      <c r="H398" s="55"/>
      <c r="I398" s="55"/>
      <c r="J398" s="70" t="str">
        <f>IFERROR(__xludf.DUMMYFUNCTION("""COMPUTED_VALUE"""),"2014 Q4")</f>
        <v>2014 Q4</v>
      </c>
      <c r="K398" s="64">
        <f>IFERROR(__xludf.DUMMYFUNCTION("""COMPUTED_VALUE"""),1927.0)</f>
        <v>1927</v>
      </c>
      <c r="L398" s="64">
        <f>IFERROR(__xludf.DUMMYFUNCTION("""COMPUTED_VALUE"""),2276.0)</f>
        <v>2276</v>
      </c>
      <c r="M398" s="64">
        <f>IFERROR(__xludf.DUMMYFUNCTION("""COMPUTED_VALUE"""),5631.0)</f>
        <v>5631</v>
      </c>
      <c r="N398" s="65">
        <f t="shared" si="19"/>
        <v>9834</v>
      </c>
      <c r="O398" s="56"/>
      <c r="P398" s="56"/>
      <c r="Q398" s="56"/>
      <c r="R398" s="56"/>
      <c r="S398" s="56"/>
    </row>
    <row r="399" hidden="1">
      <c r="A399" s="55"/>
      <c r="B399" s="55"/>
      <c r="C399" s="55"/>
      <c r="D399" s="55"/>
      <c r="E399" s="55"/>
      <c r="F399" s="55"/>
      <c r="G399" s="55"/>
      <c r="H399" s="55"/>
      <c r="I399" s="55"/>
      <c r="J399" s="70" t="str">
        <f>IFERROR(__xludf.DUMMYFUNCTION("""COMPUTED_VALUE"""),"2015 Q1")</f>
        <v>2015 Q1</v>
      </c>
      <c r="K399" s="64">
        <f>IFERROR(__xludf.DUMMYFUNCTION("""COMPUTED_VALUE"""),1665.0)</f>
        <v>1665</v>
      </c>
      <c r="L399" s="64">
        <f>IFERROR(__xludf.DUMMYFUNCTION("""COMPUTED_VALUE"""),3465.0)</f>
        <v>3465</v>
      </c>
      <c r="M399" s="64">
        <f>IFERROR(__xludf.DUMMYFUNCTION("""COMPUTED_VALUE"""),4915.0)</f>
        <v>4915</v>
      </c>
      <c r="N399" s="65">
        <f t="shared" si="19"/>
        <v>10045</v>
      </c>
      <c r="O399" s="56"/>
      <c r="P399" s="56"/>
      <c r="Q399" s="56"/>
      <c r="R399" s="56"/>
      <c r="S399" s="56"/>
    </row>
    <row r="400" hidden="1">
      <c r="A400" s="55"/>
      <c r="B400" s="55"/>
      <c r="C400" s="55"/>
      <c r="D400" s="55"/>
      <c r="E400" s="55"/>
      <c r="F400" s="55"/>
      <c r="G400" s="55"/>
      <c r="H400" s="55"/>
      <c r="I400" s="55"/>
      <c r="J400" s="70" t="str">
        <f>IFERROR(__xludf.DUMMYFUNCTION("""COMPUTED_VALUE"""),"2015 Q2")</f>
        <v>2015 Q2</v>
      </c>
      <c r="K400" s="64">
        <f>IFERROR(__xludf.DUMMYFUNCTION("""COMPUTED_VALUE"""),1236.0)</f>
        <v>1236</v>
      </c>
      <c r="L400" s="64">
        <f>IFERROR(__xludf.DUMMYFUNCTION("""COMPUTED_VALUE"""),3891.0)</f>
        <v>3891</v>
      </c>
      <c r="M400" s="64">
        <f>IFERROR(__xludf.DUMMYFUNCTION("""COMPUTED_VALUE"""),6405.0)</f>
        <v>6405</v>
      </c>
      <c r="N400" s="65">
        <f t="shared" si="19"/>
        <v>11532</v>
      </c>
      <c r="O400" s="56"/>
      <c r="P400" s="56"/>
      <c r="Q400" s="56"/>
      <c r="R400" s="56"/>
      <c r="S400" s="56"/>
    </row>
    <row r="401" hidden="1">
      <c r="A401" s="55"/>
      <c r="B401" s="55"/>
      <c r="C401" s="55"/>
      <c r="D401" s="55"/>
      <c r="E401" s="55"/>
      <c r="F401" s="55"/>
      <c r="G401" s="55"/>
      <c r="H401" s="55"/>
      <c r="I401" s="55"/>
      <c r="J401" s="70" t="str">
        <f>IFERROR(__xludf.DUMMYFUNCTION("""COMPUTED_VALUE"""),"2015 Q3")</f>
        <v>2015 Q3</v>
      </c>
      <c r="K401" s="64">
        <f>IFERROR(__xludf.DUMMYFUNCTION("""COMPUTED_VALUE"""),1635.0)</f>
        <v>1635</v>
      </c>
      <c r="L401" s="64">
        <f>IFERROR(__xludf.DUMMYFUNCTION("""COMPUTED_VALUE"""),3520.0)</f>
        <v>3520</v>
      </c>
      <c r="M401" s="64">
        <f>IFERROR(__xludf.DUMMYFUNCTION("""COMPUTED_VALUE"""),6448.0)</f>
        <v>6448</v>
      </c>
      <c r="N401" s="65">
        <f t="shared" si="19"/>
        <v>11603</v>
      </c>
      <c r="O401" s="56"/>
      <c r="P401" s="56"/>
      <c r="Q401" s="56"/>
      <c r="R401" s="56"/>
      <c r="S401" s="56"/>
    </row>
    <row r="402" hidden="1">
      <c r="A402" s="55"/>
      <c r="B402" s="55"/>
      <c r="C402" s="55"/>
      <c r="D402" s="55"/>
      <c r="E402" s="55"/>
      <c r="F402" s="55"/>
      <c r="G402" s="55"/>
      <c r="H402" s="55"/>
      <c r="I402" s="55"/>
      <c r="J402" s="70" t="str">
        <f>IFERROR(__xludf.DUMMYFUNCTION("""COMPUTED_VALUE"""),"2015 Q4")</f>
        <v>2015 Q4</v>
      </c>
      <c r="K402" s="64">
        <f>IFERROR(__xludf.DUMMYFUNCTION("""COMPUTED_VALUE"""),2619.0)</f>
        <v>2619</v>
      </c>
      <c r="L402" s="64">
        <f>IFERROR(__xludf.DUMMYFUNCTION("""COMPUTED_VALUE"""),5825.0)</f>
        <v>5825</v>
      </c>
      <c r="M402" s="64">
        <f>IFERROR(__xludf.DUMMYFUNCTION("""COMPUTED_VALUE"""),9034.0)</f>
        <v>9034</v>
      </c>
      <c r="N402" s="65">
        <f t="shared" si="19"/>
        <v>17478</v>
      </c>
      <c r="O402" s="56"/>
      <c r="P402" s="56"/>
      <c r="Q402" s="56"/>
      <c r="R402" s="56"/>
      <c r="S402" s="56"/>
    </row>
    <row r="403" hidden="1">
      <c r="A403" s="55"/>
      <c r="B403" s="55"/>
      <c r="C403" s="55"/>
      <c r="D403" s="55"/>
      <c r="E403" s="55"/>
      <c r="F403" s="55"/>
      <c r="G403" s="55"/>
      <c r="H403" s="55"/>
      <c r="I403" s="55"/>
      <c r="J403" s="70" t="str">
        <f>IFERROR(__xludf.DUMMYFUNCTION("""COMPUTED_VALUE"""),"2016 Q1")</f>
        <v>2016 Q1</v>
      </c>
      <c r="K403" s="64">
        <f>IFERROR(__xludf.DUMMYFUNCTION("""COMPUTED_VALUE"""),2511.0)</f>
        <v>2511</v>
      </c>
      <c r="L403" s="64">
        <f>IFERROR(__xludf.DUMMYFUNCTION("""COMPUTED_VALUE"""),3849.0)</f>
        <v>3849</v>
      </c>
      <c r="M403" s="64">
        <f>IFERROR(__xludf.DUMMYFUNCTION("""COMPUTED_VALUE"""),8450.0)</f>
        <v>8450</v>
      </c>
      <c r="N403" s="65">
        <f t="shared" si="19"/>
        <v>14810</v>
      </c>
      <c r="O403" s="56"/>
      <c r="P403" s="56"/>
      <c r="Q403" s="56"/>
      <c r="R403" s="56"/>
      <c r="S403" s="56"/>
    </row>
    <row r="404" hidden="1">
      <c r="A404" s="55"/>
      <c r="B404" s="55"/>
      <c r="C404" s="55"/>
      <c r="D404" s="55"/>
      <c r="E404" s="55"/>
      <c r="F404" s="55"/>
      <c r="G404" s="55"/>
      <c r="H404" s="55"/>
      <c r="I404" s="55"/>
      <c r="J404" s="70" t="str">
        <f>IFERROR(__xludf.DUMMYFUNCTION("""COMPUTED_VALUE"""),"2016 Q2")</f>
        <v>2016 Q2</v>
      </c>
      <c r="K404" s="64">
        <f>IFERROR(__xludf.DUMMYFUNCTION("""COMPUTED_VALUE"""),1346.0)</f>
        <v>1346</v>
      </c>
      <c r="L404" s="64">
        <f>IFERROR(__xludf.DUMMYFUNCTION("""COMPUTED_VALUE"""),2980.0)</f>
        <v>2980</v>
      </c>
      <c r="M404" s="64">
        <f>IFERROR(__xludf.DUMMYFUNCTION("""COMPUTED_VALUE"""),10076.0)</f>
        <v>10076</v>
      </c>
      <c r="N404" s="65">
        <f t="shared" si="19"/>
        <v>14402</v>
      </c>
      <c r="O404" s="56"/>
      <c r="P404" s="56"/>
      <c r="Q404" s="56"/>
      <c r="R404" s="56"/>
      <c r="S404" s="56"/>
    </row>
    <row r="405" hidden="1">
      <c r="A405" s="55"/>
      <c r="B405" s="55"/>
      <c r="C405" s="55"/>
      <c r="D405" s="55"/>
      <c r="E405" s="55"/>
      <c r="F405" s="55"/>
      <c r="G405" s="55"/>
      <c r="H405" s="55"/>
      <c r="I405" s="55"/>
      <c r="J405" s="70" t="str">
        <f>IFERROR(__xludf.DUMMYFUNCTION("""COMPUTED_VALUE"""),"2016 Q3")</f>
        <v>2016 Q3</v>
      </c>
      <c r="K405" s="64">
        <f>IFERROR(__xludf.DUMMYFUNCTION("""COMPUTED_VALUE"""),4589.0)</f>
        <v>4589</v>
      </c>
      <c r="L405" s="64">
        <f>IFERROR(__xludf.DUMMYFUNCTION("""COMPUTED_VALUE"""),5001.0)</f>
        <v>5001</v>
      </c>
      <c r="M405" s="64">
        <f>IFERROR(__xludf.DUMMYFUNCTION("""COMPUTED_VALUE"""),15231.0)</f>
        <v>15231</v>
      </c>
      <c r="N405" s="65">
        <f t="shared" si="19"/>
        <v>24821</v>
      </c>
      <c r="O405" s="56"/>
      <c r="P405" s="56"/>
      <c r="Q405" s="56"/>
      <c r="R405" s="56"/>
      <c r="S405" s="56"/>
    </row>
    <row r="406" hidden="1">
      <c r="A406" s="55"/>
      <c r="B406" s="55"/>
      <c r="C406" s="55"/>
      <c r="D406" s="55"/>
      <c r="E406" s="55"/>
      <c r="F406" s="55"/>
      <c r="G406" s="55"/>
      <c r="H406" s="55"/>
      <c r="I406" s="55"/>
      <c r="J406" s="70" t="str">
        <f>IFERROR(__xludf.DUMMYFUNCTION("""COMPUTED_VALUE"""),"2016 Q4")</f>
        <v>2016 Q4</v>
      </c>
      <c r="K406" s="64">
        <f>IFERROR(__xludf.DUMMYFUNCTION("""COMPUTED_VALUE"""),3591.0)</f>
        <v>3591</v>
      </c>
      <c r="L406" s="64">
        <f>IFERROR(__xludf.DUMMYFUNCTION("""COMPUTED_VALUE"""),4400.0)</f>
        <v>4400</v>
      </c>
      <c r="M406" s="64">
        <f>IFERROR(__xludf.DUMMYFUNCTION("""COMPUTED_VALUE"""),14261.0)</f>
        <v>14261</v>
      </c>
      <c r="N406" s="65">
        <f t="shared" si="19"/>
        <v>22252</v>
      </c>
      <c r="O406" s="56"/>
      <c r="P406" s="56"/>
      <c r="Q406" s="56"/>
      <c r="R406" s="56"/>
      <c r="S406" s="56"/>
    </row>
    <row r="407" hidden="1">
      <c r="A407" s="55"/>
      <c r="B407" s="55"/>
      <c r="C407" s="55"/>
      <c r="D407" s="55"/>
      <c r="E407" s="55"/>
      <c r="F407" s="55"/>
      <c r="G407" s="55"/>
      <c r="H407" s="55"/>
      <c r="I407" s="55"/>
      <c r="J407" s="70" t="str">
        <f>IFERROR(__xludf.DUMMYFUNCTION("""COMPUTED_VALUE"""),"2017 Q1")</f>
        <v>2017 Q1</v>
      </c>
      <c r="K407" s="64">
        <f>IFERROR(__xludf.DUMMYFUNCTION("""COMPUTED_VALUE"""),6693.0)</f>
        <v>6693</v>
      </c>
      <c r="L407" s="64">
        <f>IFERROR(__xludf.DUMMYFUNCTION("""COMPUTED_VALUE"""),6689.0)</f>
        <v>6689</v>
      </c>
      <c r="M407" s="64">
        <f>IFERROR(__xludf.DUMMYFUNCTION("""COMPUTED_VALUE"""),11669.0)</f>
        <v>11669</v>
      </c>
      <c r="N407" s="65">
        <f t="shared" si="19"/>
        <v>25051</v>
      </c>
      <c r="O407" s="56"/>
      <c r="P407" s="56"/>
      <c r="Q407" s="56"/>
      <c r="R407" s="56"/>
      <c r="S407" s="56"/>
    </row>
    <row r="408" hidden="1">
      <c r="A408" s="55"/>
      <c r="B408" s="55"/>
      <c r="C408" s="55"/>
      <c r="D408" s="55"/>
      <c r="E408" s="55"/>
      <c r="F408" s="55"/>
      <c r="G408" s="55"/>
      <c r="H408" s="55"/>
      <c r="I408" s="55"/>
      <c r="J408" s="70" t="str">
        <f>IFERROR(__xludf.DUMMYFUNCTION("""COMPUTED_VALUE"""),"2017 Q2")</f>
        <v>2017 Q2</v>
      </c>
      <c r="K408" s="64">
        <f>IFERROR(__xludf.DUMMYFUNCTION("""COMPUTED_VALUE"""),4832.0)</f>
        <v>4832</v>
      </c>
      <c r="L408" s="64">
        <f>IFERROR(__xludf.DUMMYFUNCTION("""COMPUTED_VALUE"""),5541.0)</f>
        <v>5541</v>
      </c>
      <c r="M408" s="64">
        <f>IFERROR(__xludf.DUMMYFUNCTION("""COMPUTED_VALUE"""),11653.0)</f>
        <v>11653</v>
      </c>
      <c r="N408" s="65">
        <f t="shared" si="19"/>
        <v>22026</v>
      </c>
      <c r="O408" s="56"/>
      <c r="P408" s="56"/>
      <c r="Q408" s="56"/>
      <c r="R408" s="56"/>
      <c r="S408" s="56"/>
    </row>
    <row r="409" hidden="1">
      <c r="A409" s="55"/>
      <c r="B409" s="55"/>
      <c r="C409" s="55"/>
      <c r="D409" s="55"/>
      <c r="E409" s="55"/>
      <c r="F409" s="55"/>
      <c r="G409" s="55"/>
      <c r="H409" s="55"/>
      <c r="I409" s="55"/>
      <c r="J409" s="70" t="str">
        <f>IFERROR(__xludf.DUMMYFUNCTION("""COMPUTED_VALUE"""),"2017 Q3")</f>
        <v>2017 Q3</v>
      </c>
      <c r="K409" s="64">
        <f>IFERROR(__xludf.DUMMYFUNCTION("""COMPUTED_VALUE"""),5885.0)</f>
        <v>5885</v>
      </c>
      <c r="L409" s="64">
        <f>IFERROR(__xludf.DUMMYFUNCTION("""COMPUTED_VALUE"""),7105.0)</f>
        <v>7105</v>
      </c>
      <c r="M409" s="64">
        <f>IFERROR(__xludf.DUMMYFUNCTION("""COMPUTED_VALUE"""),12925.0)</f>
        <v>12925</v>
      </c>
      <c r="N409" s="65">
        <f t="shared" si="19"/>
        <v>25915</v>
      </c>
      <c r="O409" s="56"/>
      <c r="P409" s="56"/>
      <c r="Q409" s="56"/>
      <c r="R409" s="56"/>
      <c r="S409" s="56"/>
    </row>
    <row r="410" hidden="1">
      <c r="A410" s="55"/>
      <c r="B410" s="55"/>
      <c r="C410" s="55"/>
      <c r="D410" s="55"/>
      <c r="E410" s="55"/>
      <c r="F410" s="55"/>
      <c r="G410" s="55"/>
      <c r="H410" s="55"/>
      <c r="I410" s="55"/>
      <c r="J410" s="70" t="str">
        <f>IFERROR(__xludf.DUMMYFUNCTION("""COMPUTED_VALUE"""),"2017 Q4")</f>
        <v>2017 Q4</v>
      </c>
      <c r="K410" s="64">
        <f>IFERROR(__xludf.DUMMYFUNCTION("""COMPUTED_VALUE"""),4742.0)</f>
        <v>4742</v>
      </c>
      <c r="L410" s="64">
        <f>IFERROR(__xludf.DUMMYFUNCTION("""COMPUTED_VALUE"""),8944.0)</f>
        <v>8944</v>
      </c>
      <c r="M410" s="64">
        <f>IFERROR(__xludf.DUMMYFUNCTION("""COMPUTED_VALUE"""),14739.0)</f>
        <v>14739</v>
      </c>
      <c r="N410" s="65">
        <f t="shared" si="19"/>
        <v>28425</v>
      </c>
      <c r="O410" s="56"/>
      <c r="P410" s="56"/>
      <c r="Q410" s="56"/>
      <c r="R410" s="56"/>
      <c r="S410" s="56"/>
    </row>
    <row r="411" hidden="1">
      <c r="A411" s="55"/>
      <c r="B411" s="55"/>
      <c r="C411" s="55"/>
      <c r="D411" s="55"/>
      <c r="E411" s="55"/>
      <c r="F411" s="55"/>
      <c r="G411" s="55"/>
      <c r="H411" s="55"/>
      <c r="I411" s="55"/>
      <c r="J411" s="70" t="str">
        <f>IFERROR(__xludf.DUMMYFUNCTION("""COMPUTED_VALUE"""),"2018 Q1")</f>
        <v>2018 Q1</v>
      </c>
      <c r="K411" s="64">
        <f>IFERROR(__xludf.DUMMYFUNCTION("""COMPUTED_VALUE"""),4979.0)</f>
        <v>4979</v>
      </c>
      <c r="L411" s="64">
        <f>IFERROR(__xludf.DUMMYFUNCTION("""COMPUTED_VALUE"""),6124.0)</f>
        <v>6124</v>
      </c>
      <c r="M411" s="64">
        <f>IFERROR(__xludf.DUMMYFUNCTION("""COMPUTED_VALUE"""),10712.0)</f>
        <v>10712</v>
      </c>
      <c r="N411" s="65">
        <f t="shared" si="19"/>
        <v>21815</v>
      </c>
      <c r="O411" s="56"/>
      <c r="P411" s="56"/>
      <c r="Q411" s="56"/>
      <c r="R411" s="56"/>
      <c r="S411" s="56"/>
    </row>
    <row r="412" hidden="1">
      <c r="A412" s="55"/>
      <c r="B412" s="55"/>
      <c r="C412" s="55"/>
      <c r="D412" s="55"/>
      <c r="E412" s="55"/>
      <c r="F412" s="55"/>
      <c r="G412" s="55"/>
      <c r="H412" s="55"/>
      <c r="I412" s="55"/>
      <c r="J412" s="70" t="str">
        <f>IFERROR(__xludf.DUMMYFUNCTION("""COMPUTED_VALUE"""),"2018 Q2")</f>
        <v>2018 Q2</v>
      </c>
      <c r="K412" s="64">
        <f>IFERROR(__xludf.DUMMYFUNCTION("""COMPUTED_VALUE"""),6051.0)</f>
        <v>6051</v>
      </c>
      <c r="L412" s="64">
        <f>IFERROR(__xludf.DUMMYFUNCTION("""COMPUTED_VALUE"""),7197.0)</f>
        <v>7197</v>
      </c>
      <c r="M412" s="64">
        <f>IFERROR(__xludf.DUMMYFUNCTION("""COMPUTED_VALUE"""),9071.0)</f>
        <v>9071</v>
      </c>
      <c r="N412" s="65">
        <f t="shared" si="19"/>
        <v>22319</v>
      </c>
      <c r="O412" s="56"/>
      <c r="P412" s="56"/>
      <c r="Q412" s="56"/>
      <c r="R412" s="56"/>
      <c r="S412" s="56"/>
    </row>
    <row r="413" hidden="1">
      <c r="A413" s="55"/>
      <c r="B413" s="55"/>
      <c r="C413" s="55"/>
      <c r="D413" s="55"/>
      <c r="E413" s="55"/>
      <c r="F413" s="55"/>
      <c r="G413" s="55"/>
      <c r="H413" s="55"/>
      <c r="I413" s="55"/>
      <c r="J413" s="70" t="str">
        <f>IFERROR(__xludf.DUMMYFUNCTION("""COMPUTED_VALUE"""),"2018 Q3")</f>
        <v>2018 Q3</v>
      </c>
      <c r="K413" s="64">
        <f>IFERROR(__xludf.DUMMYFUNCTION("""COMPUTED_VALUE"""),3729.0)</f>
        <v>3729</v>
      </c>
      <c r="L413" s="64">
        <f>IFERROR(__xludf.DUMMYFUNCTION("""COMPUTED_VALUE"""),7777.0)</f>
        <v>7777</v>
      </c>
      <c r="M413" s="64">
        <f>IFERROR(__xludf.DUMMYFUNCTION("""COMPUTED_VALUE"""),16204.0)</f>
        <v>16204</v>
      </c>
      <c r="N413" s="65">
        <f t="shared" si="19"/>
        <v>27710</v>
      </c>
      <c r="O413" s="56"/>
      <c r="P413" s="56"/>
      <c r="Q413" s="56"/>
      <c r="R413" s="56"/>
      <c r="S413" s="56"/>
    </row>
    <row r="414" hidden="1">
      <c r="A414" s="55"/>
      <c r="B414" s="55"/>
      <c r="C414" s="55"/>
      <c r="D414" s="55"/>
      <c r="E414" s="55"/>
      <c r="F414" s="55"/>
      <c r="G414" s="55"/>
      <c r="H414" s="55"/>
      <c r="I414" s="55"/>
      <c r="J414" s="70" t="str">
        <f>IFERROR(__xludf.DUMMYFUNCTION("""COMPUTED_VALUE"""),"2018 Q4")</f>
        <v>2018 Q4</v>
      </c>
      <c r="K414" s="64">
        <f>IFERROR(__xludf.DUMMYFUNCTION("""COMPUTED_VALUE"""),3649.0)</f>
        <v>3649</v>
      </c>
      <c r="L414" s="64">
        <f>IFERROR(__xludf.DUMMYFUNCTION("""COMPUTED_VALUE"""),8159.0)</f>
        <v>8159</v>
      </c>
      <c r="M414" s="64">
        <f>IFERROR(__xludf.DUMMYFUNCTION("""COMPUTED_VALUE"""),15799.0)</f>
        <v>15799</v>
      </c>
      <c r="N414" s="65">
        <f t="shared" si="19"/>
        <v>27607</v>
      </c>
      <c r="O414" s="56"/>
      <c r="P414" s="56"/>
      <c r="Q414" s="56"/>
      <c r="R414" s="56"/>
      <c r="S414" s="56"/>
    </row>
    <row r="415" hidden="1">
      <c r="A415" s="55"/>
      <c r="B415" s="55"/>
      <c r="C415" s="55"/>
      <c r="D415" s="55"/>
      <c r="E415" s="55"/>
      <c r="F415" s="55"/>
      <c r="G415" s="55"/>
      <c r="H415" s="55"/>
      <c r="I415" s="55"/>
      <c r="J415" s="70" t="str">
        <f>IFERROR(__xludf.DUMMYFUNCTION("""COMPUTED_VALUE"""),"2019 Q1")</f>
        <v>2019 Q1</v>
      </c>
      <c r="K415" s="64">
        <f>IFERROR(__xludf.DUMMYFUNCTION("""COMPUTED_VALUE"""),3486.0)</f>
        <v>3486</v>
      </c>
      <c r="L415" s="64">
        <f>IFERROR(__xludf.DUMMYFUNCTION("""COMPUTED_VALUE"""),3119.0)</f>
        <v>3119</v>
      </c>
      <c r="M415" s="64">
        <f>IFERROR(__xludf.DUMMYFUNCTION("""COMPUTED_VALUE"""),5486.0)</f>
        <v>5486</v>
      </c>
      <c r="N415" s="65">
        <f t="shared" si="19"/>
        <v>12091</v>
      </c>
      <c r="O415" s="56"/>
      <c r="P415" s="56"/>
      <c r="Q415" s="56"/>
      <c r="R415" s="56"/>
      <c r="S415" s="56"/>
    </row>
    <row r="416" hidden="1">
      <c r="A416" s="55"/>
      <c r="B416" s="55"/>
      <c r="C416" s="55"/>
      <c r="D416" s="55"/>
      <c r="E416" s="55"/>
      <c r="F416" s="55"/>
      <c r="G416" s="55"/>
      <c r="H416" s="55"/>
      <c r="I416" s="55"/>
      <c r="J416" s="70" t="str">
        <f>IFERROR(__xludf.DUMMYFUNCTION("""COMPUTED_VALUE"""),"2019 Q2")</f>
        <v>2019 Q2</v>
      </c>
      <c r="K416" s="64">
        <f>IFERROR(__xludf.DUMMYFUNCTION("""COMPUTED_VALUE"""),4451.0)</f>
        <v>4451</v>
      </c>
      <c r="L416" s="64">
        <f>IFERROR(__xludf.DUMMYFUNCTION("""COMPUTED_VALUE"""),4585.0)</f>
        <v>4585</v>
      </c>
      <c r="M416" s="64">
        <f>IFERROR(__xludf.DUMMYFUNCTION("""COMPUTED_VALUE"""),8686.0)</f>
        <v>8686</v>
      </c>
      <c r="N416" s="65">
        <f t="shared" si="19"/>
        <v>17722</v>
      </c>
      <c r="O416" s="56"/>
      <c r="P416" s="56"/>
      <c r="Q416" s="56"/>
      <c r="R416" s="56"/>
      <c r="S416" s="56"/>
    </row>
    <row r="417" hidden="1">
      <c r="A417" s="55"/>
      <c r="B417" s="55"/>
      <c r="C417" s="55"/>
      <c r="D417" s="55"/>
      <c r="E417" s="55"/>
      <c r="F417" s="55"/>
      <c r="G417" s="55"/>
      <c r="H417" s="55"/>
      <c r="I417" s="55"/>
      <c r="J417" s="70" t="str">
        <f>IFERROR(__xludf.DUMMYFUNCTION("""COMPUTED_VALUE"""),"2019 Q3")</f>
        <v>2019 Q3</v>
      </c>
      <c r="K417" s="64">
        <f>IFERROR(__xludf.DUMMYFUNCTION("""COMPUTED_VALUE"""),3960.0)</f>
        <v>3960</v>
      </c>
      <c r="L417" s="64">
        <f>IFERROR(__xludf.DUMMYFUNCTION("""COMPUTED_VALUE"""),4001.0)</f>
        <v>4001</v>
      </c>
      <c r="M417" s="64">
        <f>IFERROR(__xludf.DUMMYFUNCTION("""COMPUTED_VALUE"""),9522.0)</f>
        <v>9522</v>
      </c>
      <c r="N417" s="65">
        <f t="shared" si="19"/>
        <v>17483</v>
      </c>
      <c r="O417" s="56"/>
      <c r="P417" s="56"/>
      <c r="Q417" s="56"/>
      <c r="R417" s="56"/>
      <c r="S417" s="56"/>
    </row>
    <row r="418" hidden="1">
      <c r="A418" s="55"/>
      <c r="B418" s="55"/>
      <c r="C418" s="55"/>
      <c r="D418" s="55"/>
      <c r="E418" s="55"/>
      <c r="F418" s="55"/>
      <c r="G418" s="55"/>
      <c r="H418" s="55"/>
      <c r="I418" s="55"/>
      <c r="J418" s="70" t="str">
        <f>IFERROR(__xludf.DUMMYFUNCTION("""COMPUTED_VALUE"""),"2019 Q4")</f>
        <v>2019 Q4</v>
      </c>
      <c r="K418" s="64">
        <f>IFERROR(__xludf.DUMMYFUNCTION("""COMPUTED_VALUE"""),3629.0)</f>
        <v>3629</v>
      </c>
      <c r="L418" s="64">
        <f>IFERROR(__xludf.DUMMYFUNCTION("""COMPUTED_VALUE"""),3530.0)</f>
        <v>3530</v>
      </c>
      <c r="M418" s="64">
        <f>IFERROR(__xludf.DUMMYFUNCTION("""COMPUTED_VALUE"""),12316.0)</f>
        <v>12316</v>
      </c>
      <c r="N418" s="65">
        <f t="shared" si="19"/>
        <v>19475</v>
      </c>
      <c r="O418" s="56"/>
      <c r="P418" s="56"/>
      <c r="Q418" s="56"/>
      <c r="R418" s="56"/>
      <c r="S418" s="56"/>
    </row>
    <row r="419" hidden="1">
      <c r="A419" s="55"/>
      <c r="B419" s="55"/>
      <c r="C419" s="55"/>
      <c r="D419" s="55"/>
      <c r="E419" s="55"/>
      <c r="F419" s="55"/>
      <c r="G419" s="55"/>
      <c r="H419" s="55"/>
      <c r="I419" s="55"/>
      <c r="J419" s="70" t="str">
        <f>IFERROR(__xludf.DUMMYFUNCTION("""COMPUTED_VALUE"""),"2020 Q1")</f>
        <v>2020 Q1</v>
      </c>
      <c r="K419" s="64">
        <f>IFERROR(__xludf.DUMMYFUNCTION("""COMPUTED_VALUE"""),1698.0)</f>
        <v>1698</v>
      </c>
      <c r="L419" s="64">
        <f>IFERROR(__xludf.DUMMYFUNCTION("""COMPUTED_VALUE"""),2547.0)</f>
        <v>2547</v>
      </c>
      <c r="M419" s="64">
        <f>IFERROR(__xludf.DUMMYFUNCTION("""COMPUTED_VALUE"""),7985.0)</f>
        <v>7985</v>
      </c>
      <c r="N419" s="65">
        <f t="shared" si="19"/>
        <v>12230</v>
      </c>
      <c r="O419" s="56"/>
      <c r="P419" s="56"/>
      <c r="Q419" s="56"/>
      <c r="R419" s="56"/>
      <c r="S419" s="56"/>
    </row>
    <row r="420" hidden="1">
      <c r="A420" s="55"/>
      <c r="B420" s="55"/>
      <c r="C420" s="55"/>
      <c r="D420" s="55"/>
      <c r="E420" s="55"/>
      <c r="F420" s="55"/>
      <c r="G420" s="55"/>
      <c r="H420" s="55"/>
      <c r="I420" s="55"/>
      <c r="J420" s="70" t="str">
        <f>IFERROR(__xludf.DUMMYFUNCTION("""COMPUTED_VALUE"""),"2020 Q2")</f>
        <v>2020 Q2</v>
      </c>
      <c r="K420" s="64">
        <f>IFERROR(__xludf.DUMMYFUNCTION("""COMPUTED_VALUE"""),1138.0)</f>
        <v>1138</v>
      </c>
      <c r="L420" s="64">
        <f>IFERROR(__xludf.DUMMYFUNCTION("""COMPUTED_VALUE"""),2016.0)</f>
        <v>2016</v>
      </c>
      <c r="M420" s="64">
        <f>IFERROR(__xludf.DUMMYFUNCTION("""COMPUTED_VALUE"""),7460.0)</f>
        <v>7460</v>
      </c>
      <c r="N420" s="65">
        <f t="shared" si="19"/>
        <v>10614</v>
      </c>
      <c r="O420" s="56"/>
      <c r="P420" s="56"/>
      <c r="Q420" s="56"/>
      <c r="R420" s="56"/>
      <c r="S420" s="56"/>
    </row>
    <row r="421" hidden="1">
      <c r="A421" s="55"/>
      <c r="B421" s="55"/>
      <c r="C421" s="55"/>
      <c r="D421" s="55"/>
      <c r="E421" s="55"/>
      <c r="F421" s="55"/>
      <c r="G421" s="55"/>
      <c r="H421" s="55"/>
      <c r="I421" s="55"/>
      <c r="J421" s="70" t="str">
        <f>IFERROR(__xludf.DUMMYFUNCTION("""COMPUTED_VALUE"""),"2020 Q3")</f>
        <v>2020 Q3</v>
      </c>
      <c r="K421" s="64">
        <f>IFERROR(__xludf.DUMMYFUNCTION("""COMPUTED_VALUE"""),3576.0)</f>
        <v>3576</v>
      </c>
      <c r="L421" s="64">
        <f>IFERROR(__xludf.DUMMYFUNCTION("""COMPUTED_VALUE"""),3232.0)</f>
        <v>3232</v>
      </c>
      <c r="M421" s="64">
        <f>IFERROR(__xludf.DUMMYFUNCTION("""COMPUTED_VALUE"""),8467.0)</f>
        <v>8467</v>
      </c>
      <c r="N421" s="65">
        <f t="shared" si="19"/>
        <v>15275</v>
      </c>
      <c r="O421" s="56"/>
      <c r="P421" s="56"/>
      <c r="Q421" s="56"/>
      <c r="R421" s="56"/>
      <c r="S421" s="56"/>
    </row>
    <row r="422" hidden="1">
      <c r="A422" s="55"/>
      <c r="B422" s="55"/>
      <c r="C422" s="55"/>
      <c r="D422" s="55"/>
      <c r="E422" s="55"/>
      <c r="F422" s="55"/>
      <c r="G422" s="55"/>
      <c r="H422" s="55"/>
      <c r="I422" s="55"/>
      <c r="J422" s="70" t="str">
        <f>IFERROR(__xludf.DUMMYFUNCTION("""COMPUTED_VALUE"""),"2020 Q4")</f>
        <v>2020 Q4</v>
      </c>
      <c r="K422" s="64">
        <f>IFERROR(__xludf.DUMMYFUNCTION("""COMPUTED_VALUE"""),2835.0)</f>
        <v>2835</v>
      </c>
      <c r="L422" s="64">
        <f>IFERROR(__xludf.DUMMYFUNCTION("""COMPUTED_VALUE"""),3415.0)</f>
        <v>3415</v>
      </c>
      <c r="M422" s="64">
        <f>IFERROR(__xludf.DUMMYFUNCTION("""COMPUTED_VALUE"""),12716.0)</f>
        <v>12716</v>
      </c>
      <c r="N422" s="65">
        <f t="shared" si="19"/>
        <v>18966</v>
      </c>
      <c r="O422" s="56"/>
      <c r="P422" s="56"/>
      <c r="Q422" s="56"/>
      <c r="R422" s="56"/>
      <c r="S422" s="56"/>
    </row>
    <row r="423" hidden="1">
      <c r="A423" s="55"/>
      <c r="B423" s="55"/>
      <c r="C423" s="55"/>
      <c r="D423" s="55"/>
      <c r="E423" s="55"/>
      <c r="F423" s="55"/>
      <c r="G423" s="55"/>
      <c r="H423" s="55"/>
      <c r="I423" s="55"/>
      <c r="J423" s="70" t="str">
        <f>IFERROR(__xludf.DUMMYFUNCTION("""COMPUTED_VALUE"""),"2021 Q1")</f>
        <v>2021 Q1</v>
      </c>
      <c r="K423" s="64">
        <f>IFERROR(__xludf.DUMMYFUNCTION("""COMPUTED_VALUE"""),519.0)</f>
        <v>519</v>
      </c>
      <c r="L423" s="64">
        <f>IFERROR(__xludf.DUMMYFUNCTION("""COMPUTED_VALUE"""),284.0)</f>
        <v>284</v>
      </c>
      <c r="M423" s="64">
        <f>IFERROR(__xludf.DUMMYFUNCTION("""COMPUTED_VALUE"""),1227.0)</f>
        <v>1227</v>
      </c>
      <c r="N423" s="65">
        <f t="shared" si="19"/>
        <v>2030</v>
      </c>
      <c r="O423" s="56"/>
      <c r="P423" s="56"/>
      <c r="Q423" s="56"/>
      <c r="R423" s="56"/>
      <c r="S423" s="56"/>
    </row>
    <row r="424" hidden="1">
      <c r="A424" s="55"/>
      <c r="B424" s="55"/>
      <c r="C424" s="55"/>
      <c r="D424" s="55"/>
      <c r="E424" s="55"/>
      <c r="F424" s="55"/>
      <c r="G424" s="55"/>
      <c r="H424" s="55"/>
      <c r="I424" s="55"/>
      <c r="J424" s="70" t="str">
        <f>IFERROR(__xludf.DUMMYFUNCTION("""COMPUTED_VALUE"""),"2021 Q2")</f>
        <v>2021 Q2</v>
      </c>
      <c r="K424" s="64">
        <f>IFERROR(__xludf.DUMMYFUNCTION("""COMPUTED_VALUE"""),70.0)</f>
        <v>70</v>
      </c>
      <c r="L424" s="64">
        <f>IFERROR(__xludf.DUMMYFUNCTION("""COMPUTED_VALUE"""),15.0)</f>
        <v>15</v>
      </c>
      <c r="M424" s="64">
        <f>IFERROR(__xludf.DUMMYFUNCTION("""COMPUTED_VALUE"""),1810.0)</f>
        <v>1810</v>
      </c>
      <c r="N424" s="65">
        <f t="shared" si="19"/>
        <v>1895</v>
      </c>
      <c r="O424" s="56"/>
      <c r="P424" s="56"/>
      <c r="Q424" s="56"/>
      <c r="R424" s="56"/>
      <c r="S424" s="56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70" t="str">
        <f>IFERROR(__xludf.DUMMYFUNCTION("""COMPUTED_VALUE"""),"2021 Q3")</f>
        <v>2021 Q3</v>
      </c>
      <c r="K425" s="64">
        <f>IFERROR(__xludf.DUMMYFUNCTION("""COMPUTED_VALUE"""),40.0)</f>
        <v>40</v>
      </c>
      <c r="L425" s="64">
        <f>IFERROR(__xludf.DUMMYFUNCTION("""COMPUTED_VALUE"""),7.0)</f>
        <v>7</v>
      </c>
      <c r="M425" s="64">
        <f>IFERROR(__xludf.DUMMYFUNCTION("""COMPUTED_VALUE"""),9242.0)</f>
        <v>9242</v>
      </c>
      <c r="N425" s="65">
        <f t="shared" si="19"/>
        <v>9289</v>
      </c>
      <c r="O425" s="56"/>
      <c r="P425" s="56"/>
      <c r="Q425" s="56"/>
      <c r="R425" s="56"/>
      <c r="S425" s="56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72" t="str">
        <f>IFERROR(__xludf.DUMMYFUNCTION("""COMPUTED_VALUE"""),"2021 Q4")</f>
        <v>2021 Q4</v>
      </c>
      <c r="K426" s="73">
        <f>IFERROR(__xludf.DUMMYFUNCTION("""COMPUTED_VALUE"""),1.0)</f>
        <v>1</v>
      </c>
      <c r="L426" s="73">
        <f>IFERROR(__xludf.DUMMYFUNCTION("""COMPUTED_VALUE"""),4.0)</f>
        <v>4</v>
      </c>
      <c r="M426" s="73">
        <f>IFERROR(__xludf.DUMMYFUNCTION("""COMPUTED_VALUE"""),11761.0)</f>
        <v>11761</v>
      </c>
      <c r="N426" s="86">
        <f t="shared" si="19"/>
        <v>11766</v>
      </c>
      <c r="O426" s="56"/>
      <c r="P426" s="56"/>
      <c r="Q426" s="56"/>
      <c r="R426" s="56"/>
      <c r="S426" s="56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75" t="str">
        <f>IFERROR(__xludf.DUMMYFUNCTION("""COMPUTED_VALUE"""),"2022 Q1")</f>
        <v>2022 Q1</v>
      </c>
      <c r="K427" s="76">
        <f>IFERROR(__xludf.DUMMYFUNCTION("""COMPUTED_VALUE"""),0.0)</f>
        <v>0</v>
      </c>
      <c r="L427" s="76">
        <f>IFERROR(__xludf.DUMMYFUNCTION("""COMPUTED_VALUE"""),11.0)</f>
        <v>11</v>
      </c>
      <c r="M427" s="76">
        <f>IFERROR(__xludf.DUMMYFUNCTION("""COMPUTED_VALUE"""),14713.0)</f>
        <v>14713</v>
      </c>
      <c r="N427" s="87">
        <f t="shared" si="19"/>
        <v>14724</v>
      </c>
      <c r="O427" s="56"/>
      <c r="P427" s="56"/>
      <c r="Q427" s="56"/>
      <c r="R427" s="56"/>
      <c r="S427" s="56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70" t="str">
        <f>IFERROR(__xludf.DUMMYFUNCTION("""COMPUTED_VALUE"""),"2022 Q2")</f>
        <v>2022 Q2</v>
      </c>
      <c r="K428" s="64">
        <f>IFERROR(__xludf.DUMMYFUNCTION("""COMPUTED_VALUE"""),0.0)</f>
        <v>0</v>
      </c>
      <c r="L428" s="64">
        <f>IFERROR(__xludf.DUMMYFUNCTION("""COMPUTED_VALUE"""),10.0)</f>
        <v>10</v>
      </c>
      <c r="M428" s="64">
        <f>IFERROR(__xludf.DUMMYFUNCTION("""COMPUTED_VALUE"""),16152.0)</f>
        <v>16152</v>
      </c>
      <c r="N428" s="65">
        <f t="shared" si="19"/>
        <v>16162</v>
      </c>
      <c r="O428" s="56"/>
      <c r="P428" s="56"/>
      <c r="Q428" s="56"/>
      <c r="R428" s="56"/>
      <c r="S428" s="56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70" t="str">
        <f>IFERROR(__xludf.DUMMYFUNCTION("""COMPUTED_VALUE"""),"2022 Q3")</f>
        <v>2022 Q3</v>
      </c>
      <c r="K429" s="64">
        <f>IFERROR(__xludf.DUMMYFUNCTION("""COMPUTED_VALUE"""),0.0)</f>
        <v>0</v>
      </c>
      <c r="L429" s="64">
        <f>IFERROR(__xludf.DUMMYFUNCTION("""COMPUTED_VALUE"""),6.0)</f>
        <v>6</v>
      </c>
      <c r="M429" s="64">
        <f>IFERROR(__xludf.DUMMYFUNCTION("""COMPUTED_VALUE"""),18666.0)</f>
        <v>18666</v>
      </c>
      <c r="N429" s="65">
        <f t="shared" si="19"/>
        <v>18672</v>
      </c>
      <c r="O429" s="56"/>
      <c r="P429" s="56"/>
      <c r="Q429" s="56"/>
      <c r="R429" s="56"/>
      <c r="S429" s="56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79" t="str">
        <f>IFERROR(__xludf.DUMMYFUNCTION("""COMPUTED_VALUE"""),"2022 Q4")</f>
        <v>2022 Q4</v>
      </c>
      <c r="K430" s="80">
        <f>IFERROR(__xludf.DUMMYFUNCTION("""COMPUTED_VALUE"""),255.0)</f>
        <v>255</v>
      </c>
      <c r="L430" s="80">
        <f>IFERROR(__xludf.DUMMYFUNCTION("""COMPUTED_VALUE"""),2884.0)</f>
        <v>2884</v>
      </c>
      <c r="M430" s="80">
        <f>IFERROR(__xludf.DUMMYFUNCTION("""COMPUTED_VALUE"""),14008.0)</f>
        <v>14008</v>
      </c>
      <c r="N430" s="88">
        <f t="shared" si="19"/>
        <v>17147</v>
      </c>
      <c r="O430" s="56"/>
      <c r="P430" s="56"/>
      <c r="Q430" s="56"/>
      <c r="R430" s="56"/>
      <c r="S430" s="56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82" t="str">
        <f>IFERROR(__xludf.DUMMYFUNCTION("""COMPUTED_VALUE"""),"2023 Q1")</f>
        <v>2023 Q1</v>
      </c>
      <c r="K431" s="83">
        <f>IFERROR(__xludf.DUMMYFUNCTION("""COMPUTED_VALUE"""),601.0)</f>
        <v>601</v>
      </c>
      <c r="L431" s="83">
        <f>IFERROR(__xludf.DUMMYFUNCTION("""COMPUTED_VALUE"""),2083.0)</f>
        <v>2083</v>
      </c>
      <c r="M431" s="83">
        <f>IFERROR(__xludf.DUMMYFUNCTION("""COMPUTED_VALUE"""),8011.0)</f>
        <v>8011</v>
      </c>
      <c r="N431" s="89">
        <f t="shared" si="19"/>
        <v>10695</v>
      </c>
      <c r="O431" s="56"/>
      <c r="P431" s="56"/>
      <c r="Q431" s="56"/>
      <c r="R431" s="56"/>
      <c r="S431" s="56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70" t="str">
        <f>IFERROR(__xludf.DUMMYFUNCTION("""COMPUTED_VALUE"""),"2023 Q2")</f>
        <v>2023 Q2</v>
      </c>
      <c r="K432" s="64">
        <f>IFERROR(__xludf.DUMMYFUNCTION("""COMPUTED_VALUE"""),5123.0)</f>
        <v>5123</v>
      </c>
      <c r="L432" s="64">
        <f>IFERROR(__xludf.DUMMYFUNCTION("""COMPUTED_VALUE"""),3502.0)</f>
        <v>3502</v>
      </c>
      <c r="M432" s="64">
        <f>IFERROR(__xludf.DUMMYFUNCTION("""COMPUTED_VALUE"""),10600.0)</f>
        <v>10600</v>
      </c>
      <c r="N432" s="65">
        <f t="shared" si="19"/>
        <v>19225</v>
      </c>
      <c r="O432" s="56"/>
      <c r="P432" s="56"/>
      <c r="Q432" s="56"/>
      <c r="R432" s="56"/>
      <c r="S432" s="56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70" t="str">
        <f>IFERROR(__xludf.DUMMYFUNCTION("""COMPUTED_VALUE"""),"2023 Q3")</f>
        <v>2023 Q3</v>
      </c>
      <c r="K433" s="64">
        <f>IFERROR(__xludf.DUMMYFUNCTION("""COMPUTED_VALUE"""),3290.0)</f>
        <v>3290</v>
      </c>
      <c r="L433" s="64">
        <f>IFERROR(__xludf.DUMMYFUNCTION("""COMPUTED_VALUE"""),1554.0)</f>
        <v>1554</v>
      </c>
      <c r="M433" s="64">
        <f>IFERROR(__xludf.DUMMYFUNCTION("""COMPUTED_VALUE"""),11141.0)</f>
        <v>11141</v>
      </c>
      <c r="N433" s="65">
        <f t="shared" si="19"/>
        <v>15985</v>
      </c>
      <c r="O433" s="56"/>
      <c r="P433" s="56"/>
      <c r="Q433" s="56"/>
      <c r="R433" s="56"/>
      <c r="S433" s="56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72" t="str">
        <f>IFERROR(__xludf.DUMMYFUNCTION("""COMPUTED_VALUE"""),"2023 Q4")</f>
        <v>2023 Q4</v>
      </c>
      <c r="K434" s="73">
        <f>IFERROR(__xludf.DUMMYFUNCTION("""COMPUTED_VALUE"""),3205.0)</f>
        <v>3205</v>
      </c>
      <c r="L434" s="73">
        <f>IFERROR(__xludf.DUMMYFUNCTION("""COMPUTED_VALUE"""),1915.0)</f>
        <v>1915</v>
      </c>
      <c r="M434" s="73">
        <f>IFERROR(__xludf.DUMMYFUNCTION("""COMPUTED_VALUE"""),17725.0)</f>
        <v>17725</v>
      </c>
      <c r="N434" s="86">
        <f t="shared" si="19"/>
        <v>22845</v>
      </c>
      <c r="O434" s="56"/>
      <c r="P434" s="56"/>
      <c r="Q434" s="56"/>
      <c r="R434" s="56"/>
      <c r="S434" s="56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75" t="str">
        <f>IFERROR(__xludf.DUMMYFUNCTION("""COMPUTED_VALUE"""),"2024 Q1")</f>
        <v>2024 Q1</v>
      </c>
      <c r="K435" s="76">
        <f>IFERROR(__xludf.DUMMYFUNCTION("""COMPUTED_VALUE"""),1420.0)</f>
        <v>1420</v>
      </c>
      <c r="L435" s="76">
        <f>IFERROR(__xludf.DUMMYFUNCTION("""COMPUTED_VALUE"""),1149.0)</f>
        <v>1149</v>
      </c>
      <c r="M435" s="76">
        <f>IFERROR(__xludf.DUMMYFUNCTION("""COMPUTED_VALUE"""),11858.0)</f>
        <v>11858</v>
      </c>
      <c r="N435" s="87">
        <f t="shared" si="19"/>
        <v>14427</v>
      </c>
      <c r="O435" s="56"/>
      <c r="P435" s="56"/>
      <c r="Q435" s="56"/>
      <c r="R435" s="56"/>
      <c r="S435" s="56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70" t="str">
        <f>IFERROR(__xludf.DUMMYFUNCTION("""COMPUTED_VALUE"""),"2024 Q2")</f>
        <v>2024 Q2</v>
      </c>
      <c r="K436" s="64">
        <f>IFERROR(__xludf.DUMMYFUNCTION("""COMPUTED_VALUE"""),1381.0)</f>
        <v>1381</v>
      </c>
      <c r="L436" s="64">
        <f>IFERROR(__xludf.DUMMYFUNCTION("""COMPUTED_VALUE"""),715.0)</f>
        <v>715</v>
      </c>
      <c r="M436" s="64">
        <f>IFERROR(__xludf.DUMMYFUNCTION("""COMPUTED_VALUE"""),9355.0)</f>
        <v>9355</v>
      </c>
      <c r="N436" s="65">
        <f t="shared" si="19"/>
        <v>11451</v>
      </c>
      <c r="O436" s="56"/>
      <c r="P436" s="56"/>
      <c r="Q436" s="56"/>
      <c r="R436" s="56"/>
      <c r="S436" s="56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70" t="str">
        <f>IFERROR(__xludf.DUMMYFUNCTION("""COMPUTED_VALUE"""),"2024 Q3")</f>
        <v>2024 Q3</v>
      </c>
      <c r="K437" s="64">
        <f>IFERROR(__xludf.DUMMYFUNCTION("""COMPUTED_VALUE"""),782.0)</f>
        <v>782</v>
      </c>
      <c r="L437" s="64">
        <f>IFERROR(__xludf.DUMMYFUNCTION("""COMPUTED_VALUE"""),967.0)</f>
        <v>967</v>
      </c>
      <c r="M437" s="64">
        <f>IFERROR(__xludf.DUMMYFUNCTION("""COMPUTED_VALUE"""),7166.0)</f>
        <v>7166</v>
      </c>
      <c r="N437" s="65">
        <f t="shared" si="19"/>
        <v>8915</v>
      </c>
      <c r="O437" s="56"/>
      <c r="P437" s="56"/>
      <c r="Q437" s="56"/>
      <c r="R437" s="56"/>
      <c r="S437" s="56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79" t="str">
        <f>IFERROR(__xludf.DUMMYFUNCTION("""COMPUTED_VALUE"""),"2024 Q4")</f>
        <v>2024 Q4</v>
      </c>
      <c r="K438" s="80">
        <f>IFERROR(__xludf.DUMMYFUNCTION("""COMPUTED_VALUE"""),1024.0)</f>
        <v>1024</v>
      </c>
      <c r="L438" s="80">
        <f>IFERROR(__xludf.DUMMYFUNCTION("""COMPUTED_VALUE"""),540.0)</f>
        <v>540</v>
      </c>
      <c r="M438" s="80">
        <f>IFERROR(__xludf.DUMMYFUNCTION("""COMPUTED_VALUE"""),8036.0)</f>
        <v>8036</v>
      </c>
      <c r="N438" s="88">
        <f t="shared" si="19"/>
        <v>9600</v>
      </c>
      <c r="O438" s="56"/>
      <c r="P438" s="56"/>
      <c r="Q438" s="56"/>
      <c r="R438" s="56"/>
      <c r="S438" s="56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82" t="str">
        <f>IFERROR(__xludf.DUMMYFUNCTION("""COMPUTED_VALUE"""),"2025 Q1")</f>
        <v>2025 Q1</v>
      </c>
      <c r="K439" s="83">
        <f>IFERROR(__xludf.DUMMYFUNCTION("""COMPUTED_VALUE"""),670.0)</f>
        <v>670</v>
      </c>
      <c r="L439" s="83">
        <f>IFERROR(__xludf.DUMMYFUNCTION("""COMPUTED_VALUE"""),400.0)</f>
        <v>400</v>
      </c>
      <c r="M439" s="83">
        <f>IFERROR(__xludf.DUMMYFUNCTION("""COMPUTED_VALUE"""),6416.0)</f>
        <v>6416</v>
      </c>
      <c r="N439" s="89">
        <f t="shared" si="19"/>
        <v>7486</v>
      </c>
      <c r="O439" s="56"/>
      <c r="P439" s="56"/>
      <c r="Q439" s="56"/>
      <c r="R439" s="56"/>
      <c r="S439" s="56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82" t="str">
        <f>IFERROR(__xludf.DUMMYFUNCTION("""COMPUTED_VALUE"""),"2025 Q2")</f>
        <v>2025 Q2</v>
      </c>
      <c r="K440" s="83">
        <f>IFERROR(__xludf.DUMMYFUNCTION("""COMPUTED_VALUE"""),329.0)</f>
        <v>329</v>
      </c>
      <c r="L440" s="83">
        <f>IFERROR(__xludf.DUMMYFUNCTION("""COMPUTED_VALUE"""),163.0)</f>
        <v>163</v>
      </c>
      <c r="M440" s="83">
        <f>IFERROR(__xludf.DUMMYFUNCTION("""COMPUTED_VALUE"""),4512.0)</f>
        <v>4512</v>
      </c>
      <c r="N440" s="65">
        <f t="shared" si="19"/>
        <v>5004</v>
      </c>
      <c r="O440" s="56"/>
      <c r="P440" s="56"/>
      <c r="Q440" s="56"/>
      <c r="R440" s="56"/>
      <c r="S440" s="56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82" t="str">
        <f>IFERROR(__xludf.DUMMYFUNCTION("""COMPUTED_VALUE"""),"2025 Q3")</f>
        <v>2025 Q3</v>
      </c>
      <c r="K441" s="83">
        <f>IFERROR(__xludf.DUMMYFUNCTION("""COMPUTED_VALUE"""),224.0)</f>
        <v>224</v>
      </c>
      <c r="L441" s="83">
        <f>IFERROR(__xludf.DUMMYFUNCTION("""COMPUTED_VALUE"""),133.0)</f>
        <v>133</v>
      </c>
      <c r="M441" s="83">
        <f>IFERROR(__xludf.DUMMYFUNCTION("""COMPUTED_VALUE"""),9796.0)</f>
        <v>9796</v>
      </c>
      <c r="N441" s="65">
        <f t="shared" si="19"/>
        <v>10153</v>
      </c>
      <c r="O441" s="56"/>
      <c r="P441" s="56"/>
      <c r="Q441" s="56"/>
      <c r="R441" s="56"/>
      <c r="S441" s="56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70" t="str">
        <f>IFERROR(__xludf.DUMMYFUNCTION("""COMPUTED_VALUE"""),"2025 Q4")</f>
        <v>2025 Q4</v>
      </c>
      <c r="K442" s="64">
        <f>IFERROR(__xludf.DUMMYFUNCTION("""COMPUTED_VALUE"""),543.0)</f>
        <v>543</v>
      </c>
      <c r="L442" s="64">
        <f>IFERROR(__xludf.DUMMYFUNCTION("""COMPUTED_VALUE"""),374.0)</f>
        <v>374</v>
      </c>
      <c r="M442" s="64">
        <f>IFERROR(__xludf.DUMMYFUNCTION("""COMPUTED_VALUE"""),6469.0)</f>
        <v>6469</v>
      </c>
      <c r="N442" s="65">
        <f t="shared" si="19"/>
        <v>7386</v>
      </c>
      <c r="O442" s="56"/>
      <c r="P442" s="56"/>
      <c r="Q442" s="56"/>
      <c r="R442" s="56"/>
      <c r="S442" s="56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6"/>
      <c r="L443" s="56"/>
      <c r="M443" s="56"/>
      <c r="N443" s="56"/>
      <c r="O443" s="56"/>
      <c r="P443" s="56"/>
      <c r="Q443" s="56"/>
      <c r="R443" s="56"/>
      <c r="S443" s="56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6"/>
      <c r="L444" s="56"/>
      <c r="M444" s="56"/>
      <c r="N444" s="56"/>
      <c r="O444" s="56"/>
      <c r="P444" s="56"/>
      <c r="Q444" s="56"/>
      <c r="R444" s="56"/>
      <c r="S444" s="56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6"/>
      <c r="L445" s="56"/>
      <c r="M445" s="56"/>
      <c r="N445" s="56"/>
      <c r="O445" s="56"/>
      <c r="P445" s="56"/>
      <c r="Q445" s="56"/>
      <c r="R445" s="56"/>
      <c r="S445" s="56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6"/>
      <c r="L446" s="56"/>
      <c r="M446" s="56"/>
      <c r="N446" s="56"/>
      <c r="O446" s="56"/>
      <c r="P446" s="56"/>
      <c r="Q446" s="56"/>
      <c r="R446" s="56"/>
      <c r="S446" s="56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6"/>
      <c r="L447" s="56"/>
      <c r="M447" s="56"/>
      <c r="N447" s="56"/>
      <c r="O447" s="56"/>
      <c r="P447" s="56"/>
      <c r="Q447" s="56"/>
      <c r="R447" s="56"/>
      <c r="S447" s="56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6"/>
      <c r="L448" s="56"/>
      <c r="M448" s="56"/>
      <c r="N448" s="56"/>
      <c r="O448" s="56"/>
      <c r="P448" s="56"/>
      <c r="Q448" s="56"/>
      <c r="R448" s="56"/>
      <c r="S448" s="56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97" t="s">
        <v>99</v>
      </c>
      <c r="K449" s="58"/>
      <c r="L449" s="59"/>
      <c r="M449" s="55"/>
      <c r="N449" s="55"/>
      <c r="O449" s="55"/>
      <c r="P449" s="55"/>
      <c r="Q449" s="55"/>
      <c r="R449" s="55"/>
      <c r="S449" s="55"/>
    </row>
    <row r="450">
      <c r="A450" s="98"/>
      <c r="B450" s="98"/>
      <c r="C450" s="98"/>
      <c r="D450" s="98"/>
      <c r="E450" s="98"/>
      <c r="F450" s="98"/>
      <c r="G450" s="98"/>
      <c r="H450" s="98"/>
      <c r="I450" s="98"/>
      <c r="J450" s="99" t="str">
        <f>IFERROR(__xludf.DUMMYFUNCTION("query({Production_Data!$A:$G},""select Col3,sum(Col7) where Col3&lt;&gt;'' and Col7 is not null group by Col3 label sum(Col7) 'Production' "",1)"),"Quarter")</f>
        <v>Quarter</v>
      </c>
      <c r="K450" s="100" t="str">
        <f>IFERROR(__xludf.DUMMYFUNCTION("""COMPUTED_VALUE"""),"Production")</f>
        <v>Production</v>
      </c>
      <c r="L450" s="100" t="str">
        <f>IFERROR(__xludf.DUMMYFUNCTION("query({Delivery_Data!$A:$I},""select sum(Col8) where Col3&lt;&gt;'' and Col8 is not null group by Col3 label sum(Col8)'Deliveries' "",1)"),"Deliveries")</f>
        <v>Deliveries</v>
      </c>
      <c r="M450" s="55"/>
      <c r="N450" s="55"/>
      <c r="O450" s="55"/>
      <c r="P450" s="55"/>
      <c r="Q450" s="55"/>
      <c r="R450" s="55"/>
      <c r="S450" s="55"/>
    </row>
    <row r="451" hidden="1">
      <c r="A451" s="55"/>
      <c r="B451" s="55"/>
      <c r="C451" s="55"/>
      <c r="D451" s="55"/>
      <c r="E451" s="55"/>
      <c r="F451" s="55"/>
      <c r="G451" s="55"/>
      <c r="H451" s="55"/>
      <c r="I451" s="55"/>
      <c r="J451" s="70" t="str">
        <f>IFERROR(__xludf.DUMMYFUNCTION("""COMPUTED_VALUE"""),"2012 Q3")</f>
        <v>2012 Q3</v>
      </c>
      <c r="K451" s="101">
        <f>IFERROR(__xludf.DUMMYFUNCTION("""COMPUTED_VALUE"""),345.0)</f>
        <v>345</v>
      </c>
      <c r="L451" s="101">
        <f>IFERROR(__xludf.DUMMYFUNCTION("""COMPUTED_VALUE"""),253.0)</f>
        <v>253</v>
      </c>
      <c r="M451" s="55"/>
      <c r="N451" s="55"/>
      <c r="O451" s="55"/>
      <c r="P451" s="55"/>
      <c r="Q451" s="55"/>
      <c r="R451" s="55"/>
      <c r="S451" s="55"/>
    </row>
    <row r="452" hidden="1">
      <c r="A452" s="55"/>
      <c r="B452" s="55"/>
      <c r="C452" s="55"/>
      <c r="D452" s="55"/>
      <c r="E452" s="55"/>
      <c r="F452" s="55"/>
      <c r="G452" s="55"/>
      <c r="H452" s="55"/>
      <c r="I452" s="55"/>
      <c r="J452" s="70" t="str">
        <f>IFERROR(__xludf.DUMMYFUNCTION("""COMPUTED_VALUE"""),"2012 Q4")</f>
        <v>2012 Q4</v>
      </c>
      <c r="K452" s="101">
        <f>IFERROR(__xludf.DUMMYFUNCTION("""COMPUTED_VALUE"""),2760.0)</f>
        <v>2760</v>
      </c>
      <c r="L452" s="101">
        <f>IFERROR(__xludf.DUMMYFUNCTION("""COMPUTED_VALUE"""),2397.0)</f>
        <v>2397</v>
      </c>
      <c r="M452" s="55"/>
      <c r="N452" s="55"/>
      <c r="O452" s="55"/>
      <c r="P452" s="55"/>
      <c r="Q452" s="55"/>
      <c r="R452" s="55"/>
      <c r="S452" s="55"/>
    </row>
    <row r="453" hidden="1">
      <c r="A453" s="55"/>
      <c r="B453" s="55"/>
      <c r="C453" s="55"/>
      <c r="D453" s="55"/>
      <c r="E453" s="55"/>
      <c r="F453" s="55"/>
      <c r="G453" s="55"/>
      <c r="H453" s="55"/>
      <c r="I453" s="55"/>
      <c r="J453" s="70" t="str">
        <f>IFERROR(__xludf.DUMMYFUNCTION("""COMPUTED_VALUE"""),"2013 Q1")</f>
        <v>2013 Q1</v>
      </c>
      <c r="K453" s="101">
        <f>IFERROR(__xludf.DUMMYFUNCTION("""COMPUTED_VALUE"""),5050.0)</f>
        <v>5050</v>
      </c>
      <c r="L453" s="101">
        <f>IFERROR(__xludf.DUMMYFUNCTION("""COMPUTED_VALUE"""),4911.0)</f>
        <v>4911</v>
      </c>
      <c r="M453" s="55"/>
      <c r="N453" s="55"/>
      <c r="O453" s="55"/>
      <c r="P453" s="55"/>
      <c r="Q453" s="55"/>
      <c r="R453" s="55"/>
      <c r="S453" s="55"/>
    </row>
    <row r="454" hidden="1">
      <c r="A454" s="55"/>
      <c r="B454" s="55"/>
      <c r="C454" s="55"/>
      <c r="D454" s="55"/>
      <c r="E454" s="55"/>
      <c r="F454" s="55"/>
      <c r="G454" s="55"/>
      <c r="H454" s="55"/>
      <c r="I454" s="55"/>
      <c r="J454" s="70" t="str">
        <f>IFERROR(__xludf.DUMMYFUNCTION("""COMPUTED_VALUE"""),"2013 Q2")</f>
        <v>2013 Q2</v>
      </c>
      <c r="K454" s="101">
        <f>IFERROR(__xludf.DUMMYFUNCTION("""COMPUTED_VALUE"""),5450.0)</f>
        <v>5450</v>
      </c>
      <c r="L454" s="101">
        <f>IFERROR(__xludf.DUMMYFUNCTION("""COMPUTED_VALUE"""),5162.0)</f>
        <v>5162</v>
      </c>
      <c r="M454" s="55"/>
      <c r="N454" s="55"/>
      <c r="O454" s="55"/>
      <c r="P454" s="55"/>
      <c r="Q454" s="55"/>
      <c r="R454" s="55"/>
      <c r="S454" s="55"/>
    </row>
    <row r="455" hidden="1">
      <c r="A455" s="55"/>
      <c r="B455" s="55"/>
      <c r="C455" s="55"/>
      <c r="D455" s="55"/>
      <c r="E455" s="55"/>
      <c r="F455" s="55"/>
      <c r="G455" s="55"/>
      <c r="H455" s="55"/>
      <c r="I455" s="55"/>
      <c r="J455" s="70" t="str">
        <f>IFERROR(__xludf.DUMMYFUNCTION("""COMPUTED_VALUE"""),"2013 Q3")</f>
        <v>2013 Q3</v>
      </c>
      <c r="K455" s="101">
        <f>IFERROR(__xludf.DUMMYFUNCTION("""COMPUTED_VALUE"""),6100.0)</f>
        <v>6100</v>
      </c>
      <c r="L455" s="101">
        <f>IFERROR(__xludf.DUMMYFUNCTION("""COMPUTED_VALUE"""),5512.0)</f>
        <v>5512</v>
      </c>
      <c r="M455" s="55"/>
      <c r="N455" s="55"/>
      <c r="O455" s="55"/>
      <c r="P455" s="55"/>
      <c r="Q455" s="55"/>
      <c r="R455" s="55"/>
      <c r="S455" s="55"/>
    </row>
    <row r="456" hidden="1">
      <c r="A456" s="55"/>
      <c r="B456" s="55"/>
      <c r="C456" s="55"/>
      <c r="D456" s="55"/>
      <c r="E456" s="55"/>
      <c r="F456" s="55"/>
      <c r="G456" s="55"/>
      <c r="H456" s="55"/>
      <c r="I456" s="55"/>
      <c r="J456" s="70" t="str">
        <f>IFERROR(__xludf.DUMMYFUNCTION("""COMPUTED_VALUE"""),"2013 Q4")</f>
        <v>2013 Q4</v>
      </c>
      <c r="K456" s="101">
        <f>IFERROR(__xludf.DUMMYFUNCTION("""COMPUTED_VALUE"""),6587.0)</f>
        <v>6587</v>
      </c>
      <c r="L456" s="101">
        <f>IFERROR(__xludf.DUMMYFUNCTION("""COMPUTED_VALUE"""),6892.0)</f>
        <v>6892</v>
      </c>
      <c r="M456" s="55"/>
      <c r="N456" s="55"/>
      <c r="O456" s="55"/>
      <c r="P456" s="55"/>
      <c r="Q456" s="55"/>
      <c r="R456" s="55"/>
      <c r="S456" s="55"/>
    </row>
    <row r="457" hidden="1">
      <c r="A457" s="55"/>
      <c r="B457" s="55"/>
      <c r="C457" s="55"/>
      <c r="D457" s="55"/>
      <c r="E457" s="55"/>
      <c r="F457" s="55"/>
      <c r="G457" s="55"/>
      <c r="H457" s="55"/>
      <c r="I457" s="55"/>
      <c r="J457" s="70" t="str">
        <f>IFERROR(__xludf.DUMMYFUNCTION("""COMPUTED_VALUE"""),"2014 Q1")</f>
        <v>2014 Q1</v>
      </c>
      <c r="K457" s="101">
        <f>IFERROR(__xludf.DUMMYFUNCTION("""COMPUTED_VALUE"""),7535.0)</f>
        <v>7535</v>
      </c>
      <c r="L457" s="101">
        <f>IFERROR(__xludf.DUMMYFUNCTION("""COMPUTED_VALUE"""),6457.0)</f>
        <v>6457</v>
      </c>
      <c r="M457" s="55"/>
      <c r="N457" s="55"/>
      <c r="O457" s="55"/>
      <c r="P457" s="55"/>
      <c r="Q457" s="55"/>
      <c r="R457" s="55"/>
      <c r="S457" s="55"/>
    </row>
    <row r="458" hidden="1">
      <c r="A458" s="55"/>
      <c r="B458" s="55"/>
      <c r="C458" s="55"/>
      <c r="D458" s="55"/>
      <c r="E458" s="55"/>
      <c r="F458" s="55"/>
      <c r="G458" s="55"/>
      <c r="H458" s="55"/>
      <c r="I458" s="55"/>
      <c r="J458" s="70" t="str">
        <f>IFERROR(__xludf.DUMMYFUNCTION("""COMPUTED_VALUE"""),"2014 Q2")</f>
        <v>2014 Q2</v>
      </c>
      <c r="K458" s="101">
        <f>IFERROR(__xludf.DUMMYFUNCTION("""COMPUTED_VALUE"""),8763.0)</f>
        <v>8763</v>
      </c>
      <c r="L458" s="101">
        <f>IFERROR(__xludf.DUMMYFUNCTION("""COMPUTED_VALUE"""),7579.0)</f>
        <v>7579</v>
      </c>
      <c r="M458" s="55"/>
      <c r="N458" s="55"/>
      <c r="O458" s="55"/>
      <c r="P458" s="55"/>
      <c r="Q458" s="55"/>
      <c r="R458" s="55"/>
      <c r="S458" s="55"/>
    </row>
    <row r="459" hidden="1">
      <c r="A459" s="55"/>
      <c r="B459" s="55"/>
      <c r="C459" s="55"/>
      <c r="D459" s="55"/>
      <c r="E459" s="55"/>
      <c r="F459" s="55"/>
      <c r="G459" s="55"/>
      <c r="H459" s="55"/>
      <c r="I459" s="55"/>
      <c r="J459" s="70" t="str">
        <f>IFERROR(__xludf.DUMMYFUNCTION("""COMPUTED_VALUE"""),"2014 Q3")</f>
        <v>2014 Q3</v>
      </c>
      <c r="K459" s="101">
        <f>IFERROR(__xludf.DUMMYFUNCTION("""COMPUTED_VALUE"""),7200.0)</f>
        <v>7200</v>
      </c>
      <c r="L459" s="101">
        <f>IFERROR(__xludf.DUMMYFUNCTION("""COMPUTED_VALUE"""),7785.0)</f>
        <v>7785</v>
      </c>
      <c r="M459" s="55"/>
      <c r="N459" s="55"/>
      <c r="O459" s="55"/>
      <c r="P459" s="55"/>
      <c r="Q459" s="55"/>
      <c r="R459" s="55"/>
      <c r="S459" s="55"/>
    </row>
    <row r="460" hidden="1">
      <c r="A460" s="55"/>
      <c r="B460" s="55"/>
      <c r="C460" s="55"/>
      <c r="D460" s="55"/>
      <c r="E460" s="55"/>
      <c r="F460" s="55"/>
      <c r="G460" s="55"/>
      <c r="H460" s="55"/>
      <c r="I460" s="55"/>
      <c r="J460" s="70" t="str">
        <f>IFERROR(__xludf.DUMMYFUNCTION("""COMPUTED_VALUE"""),"2014 Q4")</f>
        <v>2014 Q4</v>
      </c>
      <c r="K460" s="101">
        <f>IFERROR(__xludf.DUMMYFUNCTION("""COMPUTED_VALUE"""),11627.0)</f>
        <v>11627</v>
      </c>
      <c r="L460" s="101">
        <f>IFERROR(__xludf.DUMMYFUNCTION("""COMPUTED_VALUE"""),9834.0)</f>
        <v>9834</v>
      </c>
      <c r="M460" s="55"/>
      <c r="N460" s="55"/>
      <c r="O460" s="55"/>
      <c r="P460" s="55"/>
      <c r="Q460" s="55"/>
      <c r="R460" s="55"/>
      <c r="S460" s="55"/>
    </row>
    <row r="461" hidden="1">
      <c r="A461" s="55"/>
      <c r="B461" s="55"/>
      <c r="C461" s="55"/>
      <c r="D461" s="55"/>
      <c r="E461" s="55"/>
      <c r="F461" s="55"/>
      <c r="G461" s="55"/>
      <c r="H461" s="55"/>
      <c r="I461" s="55"/>
      <c r="J461" s="70" t="str">
        <f>IFERROR(__xludf.DUMMYFUNCTION("""COMPUTED_VALUE"""),"2015 Q1")</f>
        <v>2015 Q1</v>
      </c>
      <c r="K461" s="101">
        <f>IFERROR(__xludf.DUMMYFUNCTION("""COMPUTED_VALUE"""),11160.0)</f>
        <v>11160</v>
      </c>
      <c r="L461" s="101">
        <f>IFERROR(__xludf.DUMMYFUNCTION("""COMPUTED_VALUE"""),10045.0)</f>
        <v>10045</v>
      </c>
      <c r="M461" s="55"/>
      <c r="N461" s="55"/>
      <c r="O461" s="55"/>
      <c r="P461" s="55"/>
      <c r="Q461" s="55"/>
      <c r="R461" s="55"/>
      <c r="S461" s="55"/>
    </row>
    <row r="462" hidden="1">
      <c r="A462" s="55"/>
      <c r="B462" s="55"/>
      <c r="C462" s="55"/>
      <c r="D462" s="55"/>
      <c r="E462" s="55"/>
      <c r="F462" s="55"/>
      <c r="G462" s="55"/>
      <c r="H462" s="55"/>
      <c r="I462" s="55"/>
      <c r="J462" s="70" t="str">
        <f>IFERROR(__xludf.DUMMYFUNCTION("""COMPUTED_VALUE"""),"2015 Q2")</f>
        <v>2015 Q2</v>
      </c>
      <c r="K462" s="101">
        <f>IFERROR(__xludf.DUMMYFUNCTION("""COMPUTED_VALUE"""),12807.0)</f>
        <v>12807</v>
      </c>
      <c r="L462" s="101">
        <f>IFERROR(__xludf.DUMMYFUNCTION("""COMPUTED_VALUE"""),11532.0)</f>
        <v>11532</v>
      </c>
      <c r="M462" s="55"/>
      <c r="N462" s="55"/>
      <c r="O462" s="55"/>
      <c r="P462" s="55"/>
      <c r="Q462" s="55"/>
      <c r="R462" s="55"/>
      <c r="S462" s="55"/>
    </row>
    <row r="463" hidden="1">
      <c r="A463" s="55"/>
      <c r="B463" s="55"/>
      <c r="C463" s="55"/>
      <c r="D463" s="55"/>
      <c r="E463" s="55"/>
      <c r="F463" s="55"/>
      <c r="G463" s="55"/>
      <c r="H463" s="55"/>
      <c r="I463" s="55"/>
      <c r="J463" s="70" t="str">
        <f>IFERROR(__xludf.DUMMYFUNCTION("""COMPUTED_VALUE"""),"2015 Q3")</f>
        <v>2015 Q3</v>
      </c>
      <c r="K463" s="101">
        <f>IFERROR(__xludf.DUMMYFUNCTION("""COMPUTED_VALUE"""),13091.0)</f>
        <v>13091</v>
      </c>
      <c r="L463" s="101">
        <f>IFERROR(__xludf.DUMMYFUNCTION("""COMPUTED_VALUE"""),11603.0)</f>
        <v>11603</v>
      </c>
      <c r="M463" s="55"/>
      <c r="N463" s="55"/>
      <c r="O463" s="55"/>
      <c r="P463" s="55"/>
      <c r="Q463" s="55"/>
      <c r="R463" s="55"/>
      <c r="S463" s="55"/>
    </row>
    <row r="464" hidden="1">
      <c r="A464" s="55"/>
      <c r="B464" s="55"/>
      <c r="C464" s="55"/>
      <c r="D464" s="55"/>
      <c r="E464" s="55"/>
      <c r="F464" s="55"/>
      <c r="G464" s="55"/>
      <c r="H464" s="55"/>
      <c r="I464" s="55"/>
      <c r="J464" s="70" t="str">
        <f>IFERROR(__xludf.DUMMYFUNCTION("""COMPUTED_VALUE"""),"2015 Q4")</f>
        <v>2015 Q4</v>
      </c>
      <c r="K464" s="101">
        <f>IFERROR(__xludf.DUMMYFUNCTION("""COMPUTED_VALUE"""),14037.0)</f>
        <v>14037</v>
      </c>
      <c r="L464" s="101">
        <f>IFERROR(__xludf.DUMMYFUNCTION("""COMPUTED_VALUE"""),17478.0)</f>
        <v>17478</v>
      </c>
      <c r="M464" s="55"/>
      <c r="N464" s="55"/>
      <c r="O464" s="55"/>
      <c r="P464" s="55"/>
      <c r="Q464" s="55"/>
      <c r="R464" s="55"/>
      <c r="S464" s="55"/>
    </row>
    <row r="465" hidden="1">
      <c r="A465" s="55"/>
      <c r="B465" s="55"/>
      <c r="C465" s="55"/>
      <c r="D465" s="55"/>
      <c r="E465" s="55"/>
      <c r="F465" s="55"/>
      <c r="G465" s="55"/>
      <c r="H465" s="55"/>
      <c r="I465" s="55"/>
      <c r="J465" s="70" t="str">
        <f>IFERROR(__xludf.DUMMYFUNCTION("""COMPUTED_VALUE"""),"2016 Q1")</f>
        <v>2016 Q1</v>
      </c>
      <c r="K465" s="101">
        <f>IFERROR(__xludf.DUMMYFUNCTION("""COMPUTED_VALUE"""),15510.0)</f>
        <v>15510</v>
      </c>
      <c r="L465" s="101">
        <f>IFERROR(__xludf.DUMMYFUNCTION("""COMPUTED_VALUE"""),14810.0)</f>
        <v>14810</v>
      </c>
      <c r="M465" s="55"/>
      <c r="N465" s="55"/>
      <c r="O465" s="55"/>
      <c r="P465" s="55"/>
      <c r="Q465" s="55"/>
      <c r="R465" s="55"/>
      <c r="S465" s="55"/>
    </row>
    <row r="466" hidden="1">
      <c r="A466" s="55"/>
      <c r="B466" s="55"/>
      <c r="C466" s="55"/>
      <c r="D466" s="55"/>
      <c r="E466" s="55"/>
      <c r="F466" s="55"/>
      <c r="G466" s="55"/>
      <c r="H466" s="55"/>
      <c r="I466" s="55"/>
      <c r="J466" s="70" t="str">
        <f>IFERROR(__xludf.DUMMYFUNCTION("""COMPUTED_VALUE"""),"2016 Q2")</f>
        <v>2016 Q2</v>
      </c>
      <c r="K466" s="101">
        <f>IFERROR(__xludf.DUMMYFUNCTION("""COMPUTED_VALUE"""),18345.0)</f>
        <v>18345</v>
      </c>
      <c r="L466" s="101">
        <f>IFERROR(__xludf.DUMMYFUNCTION("""COMPUTED_VALUE"""),14402.0)</f>
        <v>14402</v>
      </c>
      <c r="M466" s="55"/>
      <c r="N466" s="55"/>
      <c r="O466" s="55"/>
      <c r="P466" s="55"/>
      <c r="Q466" s="55"/>
      <c r="R466" s="55"/>
      <c r="S466" s="55"/>
    </row>
    <row r="467" hidden="1">
      <c r="A467" s="55"/>
      <c r="B467" s="55"/>
      <c r="C467" s="55"/>
      <c r="D467" s="55"/>
      <c r="E467" s="55"/>
      <c r="F467" s="55"/>
      <c r="G467" s="55"/>
      <c r="H467" s="55"/>
      <c r="I467" s="55"/>
      <c r="J467" s="70" t="str">
        <f>IFERROR(__xludf.DUMMYFUNCTION("""COMPUTED_VALUE"""),"2016 Q3")</f>
        <v>2016 Q3</v>
      </c>
      <c r="K467" s="101">
        <f>IFERROR(__xludf.DUMMYFUNCTION("""COMPUTED_VALUE"""),25185.0)</f>
        <v>25185</v>
      </c>
      <c r="L467" s="101">
        <f>IFERROR(__xludf.DUMMYFUNCTION("""COMPUTED_VALUE"""),24821.0)</f>
        <v>24821</v>
      </c>
      <c r="M467" s="55"/>
      <c r="N467" s="55"/>
      <c r="O467" s="55"/>
      <c r="P467" s="55"/>
      <c r="Q467" s="55"/>
      <c r="R467" s="55"/>
      <c r="S467" s="55"/>
    </row>
    <row r="468" hidden="1">
      <c r="A468" s="55"/>
      <c r="B468" s="55"/>
      <c r="C468" s="55"/>
      <c r="D468" s="55"/>
      <c r="E468" s="55"/>
      <c r="F468" s="55"/>
      <c r="G468" s="55"/>
      <c r="H468" s="55"/>
      <c r="I468" s="55"/>
      <c r="J468" s="70" t="str">
        <f>IFERROR(__xludf.DUMMYFUNCTION("""COMPUTED_VALUE"""),"2016 Q4")</f>
        <v>2016 Q4</v>
      </c>
      <c r="K468" s="101">
        <f>IFERROR(__xludf.DUMMYFUNCTION("""COMPUTED_VALUE"""),24882.0)</f>
        <v>24882</v>
      </c>
      <c r="L468" s="101">
        <f>IFERROR(__xludf.DUMMYFUNCTION("""COMPUTED_VALUE"""),22252.0)</f>
        <v>22252</v>
      </c>
      <c r="M468" s="55"/>
      <c r="N468" s="55"/>
      <c r="O468" s="55"/>
      <c r="P468" s="55"/>
      <c r="Q468" s="55"/>
      <c r="R468" s="55"/>
      <c r="S468" s="55"/>
    </row>
    <row r="469" hidden="1">
      <c r="A469" s="55"/>
      <c r="B469" s="55"/>
      <c r="C469" s="55"/>
      <c r="D469" s="55"/>
      <c r="E469" s="55"/>
      <c r="F469" s="55"/>
      <c r="G469" s="55"/>
      <c r="H469" s="55"/>
      <c r="I469" s="55"/>
      <c r="J469" s="70" t="str">
        <f>IFERROR(__xludf.DUMMYFUNCTION("""COMPUTED_VALUE"""),"2017 Q1")</f>
        <v>2017 Q1</v>
      </c>
      <c r="K469" s="101">
        <f>IFERROR(__xludf.DUMMYFUNCTION("""COMPUTED_VALUE"""),25418.0)</f>
        <v>25418</v>
      </c>
      <c r="L469" s="101">
        <f>IFERROR(__xludf.DUMMYFUNCTION("""COMPUTED_VALUE"""),25051.0)</f>
        <v>25051</v>
      </c>
      <c r="M469" s="55"/>
      <c r="N469" s="55"/>
      <c r="O469" s="55"/>
      <c r="P469" s="55"/>
      <c r="Q469" s="55"/>
      <c r="R469" s="55"/>
      <c r="S469" s="55"/>
    </row>
    <row r="470" hidden="1">
      <c r="A470" s="55"/>
      <c r="B470" s="55"/>
      <c r="C470" s="55"/>
      <c r="D470" s="55"/>
      <c r="E470" s="55"/>
      <c r="F470" s="55"/>
      <c r="G470" s="55"/>
      <c r="H470" s="55"/>
      <c r="I470" s="55"/>
      <c r="J470" s="70" t="str">
        <f>IFERROR(__xludf.DUMMYFUNCTION("""COMPUTED_VALUE"""),"2017 Q2")</f>
        <v>2017 Q2</v>
      </c>
      <c r="K470" s="101">
        <f>IFERROR(__xludf.DUMMYFUNCTION("""COMPUTED_VALUE"""),25708.0)</f>
        <v>25708</v>
      </c>
      <c r="L470" s="101">
        <f>IFERROR(__xludf.DUMMYFUNCTION("""COMPUTED_VALUE"""),22026.0)</f>
        <v>22026</v>
      </c>
      <c r="M470" s="55"/>
      <c r="N470" s="55"/>
      <c r="O470" s="55"/>
      <c r="P470" s="55"/>
      <c r="Q470" s="55"/>
      <c r="R470" s="55"/>
      <c r="S470" s="55"/>
    </row>
    <row r="471" hidden="1">
      <c r="A471" s="55"/>
      <c r="B471" s="55"/>
      <c r="C471" s="55"/>
      <c r="D471" s="55"/>
      <c r="E471" s="55"/>
      <c r="F471" s="55"/>
      <c r="G471" s="55"/>
      <c r="H471" s="55"/>
      <c r="I471" s="55"/>
      <c r="J471" s="70" t="str">
        <f>IFERROR(__xludf.DUMMYFUNCTION("""COMPUTED_VALUE"""),"2017 Q3")</f>
        <v>2017 Q3</v>
      </c>
      <c r="K471" s="101">
        <f>IFERROR(__xludf.DUMMYFUNCTION("""COMPUTED_VALUE"""),25336.0)</f>
        <v>25336</v>
      </c>
      <c r="L471" s="101">
        <f>IFERROR(__xludf.DUMMYFUNCTION("""COMPUTED_VALUE"""),26137.0)</f>
        <v>26137</v>
      </c>
      <c r="M471" s="55"/>
      <c r="N471" s="55"/>
      <c r="O471" s="55"/>
      <c r="P471" s="55"/>
      <c r="Q471" s="55"/>
      <c r="R471" s="55"/>
      <c r="S471" s="55"/>
    </row>
    <row r="472" hidden="1">
      <c r="A472" s="55"/>
      <c r="B472" s="55"/>
      <c r="C472" s="55"/>
      <c r="D472" s="55"/>
      <c r="E472" s="55"/>
      <c r="F472" s="55"/>
      <c r="G472" s="55"/>
      <c r="H472" s="55"/>
      <c r="I472" s="55"/>
      <c r="J472" s="70" t="str">
        <f>IFERROR(__xludf.DUMMYFUNCTION("""COMPUTED_VALUE"""),"2017 Q4")</f>
        <v>2017 Q4</v>
      </c>
      <c r="K472" s="101">
        <f>IFERROR(__xludf.DUMMYFUNCTION("""COMPUTED_VALUE"""),24565.0)</f>
        <v>24565</v>
      </c>
      <c r="L472" s="101">
        <f>IFERROR(__xludf.DUMMYFUNCTION("""COMPUTED_VALUE"""),29967.0)</f>
        <v>29967</v>
      </c>
      <c r="M472" s="55"/>
      <c r="N472" s="55"/>
      <c r="O472" s="55"/>
      <c r="P472" s="55"/>
      <c r="Q472" s="55"/>
      <c r="R472" s="55"/>
      <c r="S472" s="55"/>
    </row>
    <row r="473" hidden="1">
      <c r="A473" s="55"/>
      <c r="B473" s="55"/>
      <c r="C473" s="55"/>
      <c r="D473" s="55"/>
      <c r="E473" s="55"/>
      <c r="F473" s="55"/>
      <c r="G473" s="55"/>
      <c r="H473" s="55"/>
      <c r="I473" s="55"/>
      <c r="J473" s="70" t="str">
        <f>IFERROR(__xludf.DUMMYFUNCTION("""COMPUTED_VALUE"""),"2018 Q1")</f>
        <v>2018 Q1</v>
      </c>
      <c r="K473" s="101">
        <f>IFERROR(__xludf.DUMMYFUNCTION("""COMPUTED_VALUE"""),34494.0)</f>
        <v>34494</v>
      </c>
      <c r="L473" s="101">
        <f>IFERROR(__xludf.DUMMYFUNCTION("""COMPUTED_VALUE"""),29997.0)</f>
        <v>29997</v>
      </c>
      <c r="M473" s="55"/>
      <c r="N473" s="55"/>
      <c r="O473" s="55"/>
      <c r="P473" s="55"/>
      <c r="Q473" s="55"/>
      <c r="R473" s="55"/>
      <c r="S473" s="55"/>
    </row>
    <row r="474" hidden="1">
      <c r="A474" s="55"/>
      <c r="B474" s="55"/>
      <c r="C474" s="55"/>
      <c r="D474" s="55"/>
      <c r="E474" s="55"/>
      <c r="F474" s="55"/>
      <c r="G474" s="55"/>
      <c r="H474" s="55"/>
      <c r="I474" s="55"/>
      <c r="J474" s="70" t="str">
        <f>IFERROR(__xludf.DUMMYFUNCTION("""COMPUTED_VALUE"""),"2018 Q2")</f>
        <v>2018 Q2</v>
      </c>
      <c r="K474" s="101">
        <f>IFERROR(__xludf.DUMMYFUNCTION("""COMPUTED_VALUE"""),53339.0)</f>
        <v>53339</v>
      </c>
      <c r="L474" s="101">
        <f>IFERROR(__xludf.DUMMYFUNCTION("""COMPUTED_VALUE"""),40768.0)</f>
        <v>40768</v>
      </c>
      <c r="M474" s="55"/>
      <c r="N474" s="55"/>
      <c r="O474" s="55"/>
      <c r="P474" s="55"/>
      <c r="Q474" s="55"/>
      <c r="R474" s="55"/>
      <c r="S474" s="55"/>
    </row>
    <row r="475" hidden="1">
      <c r="A475" s="55"/>
      <c r="B475" s="55"/>
      <c r="C475" s="55"/>
      <c r="D475" s="55"/>
      <c r="E475" s="55"/>
      <c r="F475" s="55"/>
      <c r="G475" s="55"/>
      <c r="H475" s="55"/>
      <c r="I475" s="55"/>
      <c r="J475" s="70" t="str">
        <f>IFERROR(__xludf.DUMMYFUNCTION("""COMPUTED_VALUE"""),"2018 Q3")</f>
        <v>2018 Q3</v>
      </c>
      <c r="K475" s="101">
        <f>IFERROR(__xludf.DUMMYFUNCTION("""COMPUTED_VALUE"""),80142.0)</f>
        <v>80142</v>
      </c>
      <c r="L475" s="101">
        <f>IFERROR(__xludf.DUMMYFUNCTION("""COMPUTED_VALUE"""),83775.0)</f>
        <v>83775</v>
      </c>
      <c r="M475" s="55"/>
      <c r="N475" s="55"/>
      <c r="O475" s="55"/>
      <c r="P475" s="55"/>
      <c r="Q475" s="55"/>
      <c r="R475" s="55"/>
      <c r="S475" s="55"/>
    </row>
    <row r="476" hidden="1">
      <c r="A476" s="55"/>
      <c r="B476" s="55"/>
      <c r="C476" s="55"/>
      <c r="D476" s="55"/>
      <c r="E476" s="55"/>
      <c r="F476" s="55"/>
      <c r="G476" s="55"/>
      <c r="H476" s="55"/>
      <c r="I476" s="55"/>
      <c r="J476" s="70" t="str">
        <f>IFERROR(__xludf.DUMMYFUNCTION("""COMPUTED_VALUE"""),"2018 Q4")</f>
        <v>2018 Q4</v>
      </c>
      <c r="K476" s="101">
        <f>IFERROR(__xludf.DUMMYFUNCTION("""COMPUTED_VALUE"""),86555.0)</f>
        <v>86555</v>
      </c>
      <c r="L476" s="101">
        <f>IFERROR(__xludf.DUMMYFUNCTION("""COMPUTED_VALUE"""),90966.0)</f>
        <v>90966</v>
      </c>
      <c r="M476" s="55"/>
      <c r="N476" s="55"/>
      <c r="O476" s="55"/>
      <c r="P476" s="55"/>
      <c r="Q476" s="55"/>
      <c r="R476" s="55"/>
      <c r="S476" s="55"/>
    </row>
    <row r="477" hidden="1">
      <c r="A477" s="55"/>
      <c r="B477" s="55"/>
      <c r="C477" s="55"/>
      <c r="D477" s="55"/>
      <c r="E477" s="55"/>
      <c r="F477" s="55"/>
      <c r="G477" s="55"/>
      <c r="H477" s="55"/>
      <c r="I477" s="55"/>
      <c r="J477" s="70" t="str">
        <f>IFERROR(__xludf.DUMMYFUNCTION("""COMPUTED_VALUE"""),"2019 Q1")</f>
        <v>2019 Q1</v>
      </c>
      <c r="K477" s="101">
        <f>IFERROR(__xludf.DUMMYFUNCTION("""COMPUTED_VALUE"""),77138.0)</f>
        <v>77138</v>
      </c>
      <c r="L477" s="101">
        <f>IFERROR(__xludf.DUMMYFUNCTION("""COMPUTED_VALUE"""),63019.0)</f>
        <v>63019</v>
      </c>
      <c r="M477" s="55"/>
      <c r="N477" s="55"/>
      <c r="O477" s="55"/>
      <c r="P477" s="55"/>
      <c r="Q477" s="55"/>
      <c r="R477" s="55"/>
      <c r="S477" s="55"/>
    </row>
    <row r="478" hidden="1">
      <c r="A478" s="55"/>
      <c r="B478" s="55"/>
      <c r="C478" s="55"/>
      <c r="D478" s="55"/>
      <c r="E478" s="55"/>
      <c r="F478" s="55"/>
      <c r="G478" s="55"/>
      <c r="H478" s="55"/>
      <c r="I478" s="55"/>
      <c r="J478" s="70" t="str">
        <f>IFERROR(__xludf.DUMMYFUNCTION("""COMPUTED_VALUE"""),"2019 Q2")</f>
        <v>2019 Q2</v>
      </c>
      <c r="K478" s="101">
        <f>IFERROR(__xludf.DUMMYFUNCTION("""COMPUTED_VALUE"""),87048.0)</f>
        <v>87048</v>
      </c>
      <c r="L478" s="101">
        <f>IFERROR(__xludf.DUMMYFUNCTION("""COMPUTED_VALUE"""),95356.0)</f>
        <v>95356</v>
      </c>
      <c r="M478" s="55"/>
      <c r="N478" s="55"/>
      <c r="O478" s="55"/>
      <c r="P478" s="55"/>
      <c r="Q478" s="55"/>
      <c r="R478" s="55"/>
      <c r="S478" s="55"/>
    </row>
    <row r="479" hidden="1">
      <c r="A479" s="55"/>
      <c r="B479" s="55"/>
      <c r="C479" s="55"/>
      <c r="D479" s="55"/>
      <c r="E479" s="55"/>
      <c r="F479" s="55"/>
      <c r="G479" s="55"/>
      <c r="H479" s="55"/>
      <c r="I479" s="55"/>
      <c r="J479" s="70" t="str">
        <f>IFERROR(__xludf.DUMMYFUNCTION("""COMPUTED_VALUE"""),"2019 Q3")</f>
        <v>2019 Q3</v>
      </c>
      <c r="K479" s="101">
        <f>IFERROR(__xludf.DUMMYFUNCTION("""COMPUTED_VALUE"""),96155.0)</f>
        <v>96155</v>
      </c>
      <c r="L479" s="101">
        <f>IFERROR(__xludf.DUMMYFUNCTION("""COMPUTED_VALUE"""),97186.0)</f>
        <v>97186</v>
      </c>
      <c r="M479" s="55"/>
      <c r="N479" s="55"/>
      <c r="O479" s="55"/>
      <c r="P479" s="55"/>
      <c r="Q479" s="55"/>
      <c r="R479" s="55"/>
      <c r="S479" s="55"/>
    </row>
    <row r="480" hidden="1">
      <c r="A480" s="55"/>
      <c r="B480" s="55"/>
      <c r="C480" s="55"/>
      <c r="D480" s="55"/>
      <c r="E480" s="55"/>
      <c r="F480" s="55"/>
      <c r="G480" s="55"/>
      <c r="H480" s="55"/>
      <c r="I480" s="55"/>
      <c r="J480" s="70" t="str">
        <f>IFERROR(__xludf.DUMMYFUNCTION("""COMPUTED_VALUE"""),"2019 Q4")</f>
        <v>2019 Q4</v>
      </c>
      <c r="K480" s="101">
        <f>IFERROR(__xludf.DUMMYFUNCTION("""COMPUTED_VALUE"""),104891.0)</f>
        <v>104891</v>
      </c>
      <c r="L480" s="101">
        <f>IFERROR(__xludf.DUMMYFUNCTION("""COMPUTED_VALUE"""),112095.0)</f>
        <v>112095</v>
      </c>
      <c r="M480" s="55"/>
      <c r="N480" s="55"/>
      <c r="O480" s="55"/>
      <c r="P480" s="55"/>
      <c r="Q480" s="55"/>
      <c r="R480" s="55"/>
      <c r="S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70" t="str">
        <f>IFERROR(__xludf.DUMMYFUNCTION("""COMPUTED_VALUE"""),"2020 Q1")</f>
        <v>2020 Q1</v>
      </c>
      <c r="K481" s="101">
        <f>IFERROR(__xludf.DUMMYFUNCTION("""COMPUTED_VALUE"""),102672.0)</f>
        <v>102672</v>
      </c>
      <c r="L481" s="101">
        <f>IFERROR(__xludf.DUMMYFUNCTION("""COMPUTED_VALUE"""),88496.0)</f>
        <v>88496</v>
      </c>
      <c r="M481" s="55"/>
      <c r="N481" s="55"/>
      <c r="O481" s="55"/>
      <c r="P481" s="55"/>
      <c r="Q481" s="55"/>
      <c r="R481" s="55"/>
      <c r="S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70" t="str">
        <f>IFERROR(__xludf.DUMMYFUNCTION("""COMPUTED_VALUE"""),"2020 Q2")</f>
        <v>2020 Q2</v>
      </c>
      <c r="K482" s="101">
        <f>IFERROR(__xludf.DUMMYFUNCTION("""COMPUTED_VALUE"""),82272.0)</f>
        <v>82272</v>
      </c>
      <c r="L482" s="101">
        <f>IFERROR(__xludf.DUMMYFUNCTION("""COMPUTED_VALUE"""),90891.0)</f>
        <v>90891</v>
      </c>
      <c r="M482" s="55"/>
      <c r="N482" s="55"/>
      <c r="O482" s="55"/>
      <c r="P482" s="55"/>
      <c r="Q482" s="55"/>
      <c r="R482" s="55"/>
      <c r="S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70" t="str">
        <f>IFERROR(__xludf.DUMMYFUNCTION("""COMPUTED_VALUE"""),"2020 Q3")</f>
        <v>2020 Q3</v>
      </c>
      <c r="K483" s="101">
        <f>IFERROR(__xludf.DUMMYFUNCTION("""COMPUTED_VALUE"""),145036.0)</f>
        <v>145036</v>
      </c>
      <c r="L483" s="101">
        <f>IFERROR(__xludf.DUMMYFUNCTION("""COMPUTED_VALUE"""),139593.0)</f>
        <v>139593</v>
      </c>
      <c r="M483" s="55"/>
      <c r="N483" s="55"/>
      <c r="O483" s="55"/>
      <c r="P483" s="55"/>
      <c r="Q483" s="55"/>
      <c r="R483" s="55"/>
      <c r="S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72" t="str">
        <f>IFERROR(__xludf.DUMMYFUNCTION("""COMPUTED_VALUE"""),"2020 Q4")</f>
        <v>2020 Q4</v>
      </c>
      <c r="K484" s="102">
        <f>IFERROR(__xludf.DUMMYFUNCTION("""COMPUTED_VALUE"""),179757.0)</f>
        <v>179757</v>
      </c>
      <c r="L484" s="102">
        <f>IFERROR(__xludf.DUMMYFUNCTION("""COMPUTED_VALUE"""),180667.0)</f>
        <v>180667</v>
      </c>
      <c r="M484" s="55"/>
      <c r="N484" s="55"/>
      <c r="O484" s="55"/>
      <c r="P484" s="55"/>
      <c r="Q484" s="55"/>
      <c r="R484" s="55"/>
      <c r="S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75" t="str">
        <f>IFERROR(__xludf.DUMMYFUNCTION("""COMPUTED_VALUE"""),"2021 Q1")</f>
        <v>2021 Q1</v>
      </c>
      <c r="K485" s="103">
        <f>IFERROR(__xludf.DUMMYFUNCTION("""COMPUTED_VALUE"""),180338.0)</f>
        <v>180338</v>
      </c>
      <c r="L485" s="103">
        <f>IFERROR(__xludf.DUMMYFUNCTION("""COMPUTED_VALUE"""),184877.0)</f>
        <v>184877</v>
      </c>
      <c r="M485" s="55"/>
      <c r="N485" s="55"/>
      <c r="O485" s="55"/>
      <c r="P485" s="55"/>
      <c r="Q485" s="55"/>
      <c r="R485" s="55"/>
      <c r="S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70" t="str">
        <f>IFERROR(__xludf.DUMMYFUNCTION("""COMPUTED_VALUE"""),"2021 Q2")</f>
        <v>2021 Q2</v>
      </c>
      <c r="K486" s="101">
        <f>IFERROR(__xludf.DUMMYFUNCTION("""COMPUTED_VALUE"""),206421.0)</f>
        <v>206421</v>
      </c>
      <c r="L486" s="101">
        <f>IFERROR(__xludf.DUMMYFUNCTION("""COMPUTED_VALUE"""),201304.0)</f>
        <v>201304</v>
      </c>
      <c r="M486" s="55"/>
      <c r="N486" s="55"/>
      <c r="O486" s="55"/>
      <c r="P486" s="55"/>
      <c r="Q486" s="55"/>
      <c r="R486" s="55"/>
      <c r="S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70" t="str">
        <f>IFERROR(__xludf.DUMMYFUNCTION("""COMPUTED_VALUE"""),"2021 Q3")</f>
        <v>2021 Q3</v>
      </c>
      <c r="K487" s="101">
        <f>IFERROR(__xludf.DUMMYFUNCTION("""COMPUTED_VALUE"""),237823.0)</f>
        <v>237823</v>
      </c>
      <c r="L487" s="101">
        <f>IFERROR(__xludf.DUMMYFUNCTION("""COMPUTED_VALUE"""),241391.0)</f>
        <v>241391</v>
      </c>
      <c r="M487" s="55"/>
      <c r="N487" s="55"/>
      <c r="O487" s="55"/>
      <c r="P487" s="55"/>
      <c r="Q487" s="55"/>
      <c r="R487" s="55"/>
      <c r="S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79" t="str">
        <f>IFERROR(__xludf.DUMMYFUNCTION("""COMPUTED_VALUE"""),"2021 Q4")</f>
        <v>2021 Q4</v>
      </c>
      <c r="K488" s="104">
        <f>IFERROR(__xludf.DUMMYFUNCTION("""COMPUTED_VALUE"""),305840.0)</f>
        <v>305840</v>
      </c>
      <c r="L488" s="104">
        <f>IFERROR(__xludf.DUMMYFUNCTION("""COMPUTED_VALUE"""),308650.0)</f>
        <v>308650</v>
      </c>
      <c r="M488" s="55"/>
      <c r="N488" s="55"/>
      <c r="O488" s="55"/>
      <c r="P488" s="55"/>
      <c r="Q488" s="55"/>
      <c r="R488" s="55"/>
      <c r="S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82" t="str">
        <f>IFERROR(__xludf.DUMMYFUNCTION("""COMPUTED_VALUE"""),"2022 Q1")</f>
        <v>2022 Q1</v>
      </c>
      <c r="K489" s="105">
        <f>IFERROR(__xludf.DUMMYFUNCTION("""COMPUTED_VALUE"""),305407.0)</f>
        <v>305407</v>
      </c>
      <c r="L489" s="105">
        <f>IFERROR(__xludf.DUMMYFUNCTION("""COMPUTED_VALUE"""),310048.0)</f>
        <v>310048</v>
      </c>
      <c r="M489" s="55"/>
      <c r="N489" s="55"/>
      <c r="O489" s="55"/>
      <c r="P489" s="55"/>
      <c r="Q489" s="55"/>
      <c r="R489" s="55"/>
      <c r="S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70" t="str">
        <f>IFERROR(__xludf.DUMMYFUNCTION("""COMPUTED_VALUE"""),"2022 Q2")</f>
        <v>2022 Q2</v>
      </c>
      <c r="K490" s="101">
        <f>IFERROR(__xludf.DUMMYFUNCTION("""COMPUTED_VALUE"""),258580.0)</f>
        <v>258580</v>
      </c>
      <c r="L490" s="101">
        <f>IFERROR(__xludf.DUMMYFUNCTION("""COMPUTED_VALUE"""),254695.0)</f>
        <v>254695</v>
      </c>
      <c r="M490" s="55"/>
      <c r="N490" s="55"/>
      <c r="O490" s="55"/>
      <c r="P490" s="55"/>
      <c r="Q490" s="55"/>
      <c r="R490" s="55"/>
      <c r="S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70" t="str">
        <f>IFERROR(__xludf.DUMMYFUNCTION("""COMPUTED_VALUE"""),"2022 Q3")</f>
        <v>2022 Q3</v>
      </c>
      <c r="K491" s="101">
        <f>IFERROR(__xludf.DUMMYFUNCTION("""COMPUTED_VALUE"""),365923.0)</f>
        <v>365923</v>
      </c>
      <c r="L491" s="101">
        <f>IFERROR(__xludf.DUMMYFUNCTION("""COMPUTED_VALUE"""),343830.0)</f>
        <v>343830</v>
      </c>
      <c r="M491" s="55"/>
      <c r="N491" s="55"/>
      <c r="O491" s="55"/>
      <c r="P491" s="55"/>
      <c r="Q491" s="55"/>
      <c r="R491" s="55"/>
      <c r="S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72" t="str">
        <f>IFERROR(__xludf.DUMMYFUNCTION("""COMPUTED_VALUE"""),"2022 Q4")</f>
        <v>2022 Q4</v>
      </c>
      <c r="K492" s="102">
        <f>IFERROR(__xludf.DUMMYFUNCTION("""COMPUTED_VALUE"""),439701.0)</f>
        <v>439701</v>
      </c>
      <c r="L492" s="102">
        <f>IFERROR(__xludf.DUMMYFUNCTION("""COMPUTED_VALUE"""),405278.0)</f>
        <v>405278</v>
      </c>
      <c r="M492" s="55"/>
      <c r="N492" s="55"/>
      <c r="O492" s="55"/>
      <c r="P492" s="55"/>
      <c r="Q492" s="55"/>
      <c r="R492" s="55"/>
      <c r="S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75" t="str">
        <f>IFERROR(__xludf.DUMMYFUNCTION("""COMPUTED_VALUE"""),"2023 Q1")</f>
        <v>2023 Q1</v>
      </c>
      <c r="K493" s="103">
        <f>IFERROR(__xludf.DUMMYFUNCTION("""COMPUTED_VALUE"""),440808.0)</f>
        <v>440808</v>
      </c>
      <c r="L493" s="103">
        <f>IFERROR(__xludf.DUMMYFUNCTION("""COMPUTED_VALUE"""),422875.0)</f>
        <v>422875</v>
      </c>
      <c r="M493" s="55"/>
      <c r="N493" s="55"/>
      <c r="O493" s="55"/>
      <c r="P493" s="55"/>
      <c r="Q493" s="55"/>
      <c r="R493" s="55"/>
      <c r="S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70" t="str">
        <f>IFERROR(__xludf.DUMMYFUNCTION("""COMPUTED_VALUE"""),"2023 Q2")</f>
        <v>2023 Q2</v>
      </c>
      <c r="K494" s="101">
        <f>IFERROR(__xludf.DUMMYFUNCTION("""COMPUTED_VALUE"""),479700.0)</f>
        <v>479700</v>
      </c>
      <c r="L494" s="101">
        <f>IFERROR(__xludf.DUMMYFUNCTION("""COMPUTED_VALUE"""),466140.0)</f>
        <v>466140</v>
      </c>
      <c r="M494" s="55"/>
      <c r="N494" s="55"/>
      <c r="O494" s="55"/>
      <c r="P494" s="55"/>
      <c r="Q494" s="55"/>
      <c r="R494" s="55"/>
      <c r="S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70" t="str">
        <f>IFERROR(__xludf.DUMMYFUNCTION("""COMPUTED_VALUE"""),"2023 Q3")</f>
        <v>2023 Q3</v>
      </c>
      <c r="K495" s="101">
        <f>IFERROR(__xludf.DUMMYFUNCTION("""COMPUTED_VALUE"""),430488.0)</f>
        <v>430488</v>
      </c>
      <c r="L495" s="101">
        <f>IFERROR(__xludf.DUMMYFUNCTION("""COMPUTED_VALUE"""),435059.0)</f>
        <v>435059</v>
      </c>
      <c r="M495" s="55"/>
      <c r="N495" s="55"/>
      <c r="O495" s="55"/>
      <c r="P495" s="55"/>
      <c r="Q495" s="55"/>
      <c r="R495" s="55"/>
      <c r="S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79" t="str">
        <f>IFERROR(__xludf.DUMMYFUNCTION("""COMPUTED_VALUE"""),"2023 Q4")</f>
        <v>2023 Q4</v>
      </c>
      <c r="K496" s="104">
        <f>IFERROR(__xludf.DUMMYFUNCTION("""COMPUTED_VALUE"""),494989.0)</f>
        <v>494989</v>
      </c>
      <c r="L496" s="104">
        <f>IFERROR(__xludf.DUMMYFUNCTION("""COMPUTED_VALUE"""),484507.0)</f>
        <v>484507</v>
      </c>
      <c r="M496" s="55"/>
      <c r="N496" s="55"/>
      <c r="O496" s="55"/>
      <c r="P496" s="55"/>
      <c r="Q496" s="55"/>
      <c r="R496" s="55"/>
      <c r="S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82" t="str">
        <f>IFERROR(__xludf.DUMMYFUNCTION("""COMPUTED_VALUE"""),"2024 Q1")</f>
        <v>2024 Q1</v>
      </c>
      <c r="K497" s="105">
        <f>IFERROR(__xludf.DUMMYFUNCTION("""COMPUTED_VALUE"""),433371.0)</f>
        <v>433371</v>
      </c>
      <c r="L497" s="105">
        <f>IFERROR(__xludf.DUMMYFUNCTION("""COMPUTED_VALUE"""),386810.0)</f>
        <v>386810</v>
      </c>
      <c r="M497" s="55"/>
      <c r="N497" s="55"/>
      <c r="O497" s="55"/>
      <c r="P497" s="55"/>
      <c r="Q497" s="55"/>
      <c r="R497" s="55"/>
      <c r="S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70" t="str">
        <f>IFERROR(__xludf.DUMMYFUNCTION("""COMPUTED_VALUE"""),"2024 Q2")</f>
        <v>2024 Q2</v>
      </c>
      <c r="K498" s="101">
        <f>IFERROR(__xludf.DUMMYFUNCTION("""COMPUTED_VALUE"""),410831.0)</f>
        <v>410831</v>
      </c>
      <c r="L498" s="101">
        <f>IFERROR(__xludf.DUMMYFUNCTION("""COMPUTED_VALUE"""),443956.0)</f>
        <v>443956</v>
      </c>
      <c r="M498" s="55"/>
      <c r="N498" s="55"/>
      <c r="O498" s="55"/>
      <c r="P498" s="55"/>
      <c r="Q498" s="55"/>
      <c r="R498" s="55"/>
      <c r="S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70" t="str">
        <f>IFERROR(__xludf.DUMMYFUNCTION("""COMPUTED_VALUE"""),"2024 Q3")</f>
        <v>2024 Q3</v>
      </c>
      <c r="K499" s="101">
        <f>IFERROR(__xludf.DUMMYFUNCTION("""COMPUTED_VALUE"""),469796.0)</f>
        <v>469796</v>
      </c>
      <c r="L499" s="101">
        <f>IFERROR(__xludf.DUMMYFUNCTION("""COMPUTED_VALUE"""),462890.0)</f>
        <v>462890</v>
      </c>
      <c r="M499" s="55"/>
      <c r="N499" s="55"/>
      <c r="O499" s="55"/>
      <c r="P499" s="55"/>
      <c r="Q499" s="55"/>
      <c r="R499" s="55"/>
      <c r="S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72" t="str">
        <f>IFERROR(__xludf.DUMMYFUNCTION("""COMPUTED_VALUE"""),"2024 Q4")</f>
        <v>2024 Q4</v>
      </c>
      <c r="K500" s="102">
        <f>IFERROR(__xludf.DUMMYFUNCTION("""COMPUTED_VALUE"""),459445.0)</f>
        <v>459445</v>
      </c>
      <c r="L500" s="102">
        <f>IFERROR(__xludf.DUMMYFUNCTION("""COMPUTED_VALUE"""),495570.0)</f>
        <v>495570</v>
      </c>
      <c r="M500" s="55"/>
      <c r="N500" s="55"/>
      <c r="O500" s="55"/>
      <c r="P500" s="55"/>
      <c r="Q500" s="55"/>
      <c r="R500" s="55"/>
      <c r="S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75" t="str">
        <f>IFERROR(__xludf.DUMMYFUNCTION("""COMPUTED_VALUE"""),"2025 Q1")</f>
        <v>2025 Q1</v>
      </c>
      <c r="K501" s="103">
        <f>IFERROR(__xludf.DUMMYFUNCTION("""COMPUTED_VALUE"""),362615.0)</f>
        <v>362615</v>
      </c>
      <c r="L501" s="103">
        <f>IFERROR(__xludf.DUMMYFUNCTION("""COMPUTED_VALUE"""),336681.0)</f>
        <v>336681</v>
      </c>
      <c r="M501" s="55"/>
      <c r="N501" s="55"/>
      <c r="O501" s="55"/>
      <c r="P501" s="55"/>
      <c r="Q501" s="55"/>
      <c r="R501" s="55"/>
      <c r="S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82" t="str">
        <f>IFERROR(__xludf.DUMMYFUNCTION("""COMPUTED_VALUE"""),"2025 Q2")</f>
        <v>2025 Q2</v>
      </c>
      <c r="K502" s="105">
        <f>IFERROR(__xludf.DUMMYFUNCTION("""COMPUTED_VALUE"""),410244.0)</f>
        <v>410244</v>
      </c>
      <c r="L502" s="105">
        <f>IFERROR(__xludf.DUMMYFUNCTION("""COMPUTED_VALUE"""),384122.0)</f>
        <v>384122</v>
      </c>
      <c r="M502" s="55"/>
      <c r="N502" s="55"/>
      <c r="O502" s="55"/>
      <c r="P502" s="55"/>
      <c r="Q502" s="55"/>
      <c r="R502" s="55"/>
      <c r="S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82" t="str">
        <f>IFERROR(__xludf.DUMMYFUNCTION("""COMPUTED_VALUE"""),"2025 Q3")</f>
        <v>2025 Q3</v>
      </c>
      <c r="K503" s="105">
        <f>IFERROR(__xludf.DUMMYFUNCTION("""COMPUTED_VALUE"""),447450.0)</f>
        <v>447450</v>
      </c>
      <c r="L503" s="105">
        <f>IFERROR(__xludf.DUMMYFUNCTION("""COMPUTED_VALUE"""),497099.0)</f>
        <v>497099</v>
      </c>
      <c r="M503" s="55"/>
      <c r="N503" s="55"/>
      <c r="O503" s="55"/>
      <c r="P503" s="55"/>
      <c r="Q503" s="55"/>
      <c r="R503" s="55"/>
      <c r="S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70" t="str">
        <f>IFERROR(__xludf.DUMMYFUNCTION("""COMPUTED_VALUE"""),"2025 Q4")</f>
        <v>2025 Q4</v>
      </c>
      <c r="K504" s="101">
        <f>IFERROR(__xludf.DUMMYFUNCTION("""COMPUTED_VALUE"""),434358.0)</f>
        <v>434358</v>
      </c>
      <c r="L504" s="101">
        <f>IFERROR(__xludf.DUMMYFUNCTION("""COMPUTED_VALUE"""),418227.0)</f>
        <v>418227</v>
      </c>
      <c r="M504" s="55"/>
      <c r="N504" s="55"/>
      <c r="O504" s="55"/>
      <c r="P504" s="55"/>
      <c r="Q504" s="55"/>
      <c r="R504" s="55"/>
      <c r="S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6"/>
      <c r="L505" s="56"/>
      <c r="M505" s="56"/>
      <c r="N505" s="56"/>
      <c r="O505" s="56"/>
      <c r="P505" s="56"/>
      <c r="Q505" s="56"/>
      <c r="R505" s="56"/>
      <c r="S505" s="56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6"/>
      <c r="L506" s="56"/>
      <c r="M506" s="56"/>
      <c r="N506" s="56"/>
      <c r="O506" s="56"/>
      <c r="P506" s="56"/>
      <c r="Q506" s="56"/>
      <c r="R506" s="56"/>
      <c r="S506" s="56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</row>
  </sheetData>
  <mergeCells count="11">
    <mergeCell ref="J312:M312"/>
    <mergeCell ref="J352:M352"/>
    <mergeCell ref="J387:N387"/>
    <mergeCell ref="J449:L449"/>
    <mergeCell ref="J3:P3"/>
    <mergeCell ref="J33:N33"/>
    <mergeCell ref="J93:N93"/>
    <mergeCell ref="J133:N133"/>
    <mergeCell ref="J168:N168"/>
    <mergeCell ref="J209:N209"/>
    <mergeCell ref="J272:M272"/>
  </mergeCell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7.38"/>
  </cols>
  <sheetData>
    <row r="1">
      <c r="B1" s="106"/>
      <c r="C1" s="35"/>
    </row>
    <row r="2">
      <c r="B2" s="106"/>
      <c r="C2" s="35"/>
    </row>
    <row r="3">
      <c r="B3" s="107" t="s">
        <v>100</v>
      </c>
      <c r="C3" s="108" t="s">
        <v>101</v>
      </c>
    </row>
    <row r="4">
      <c r="B4" s="109"/>
      <c r="C4" s="110" t="s">
        <v>102</v>
      </c>
    </row>
    <row r="5">
      <c r="B5" s="109"/>
      <c r="C5" s="111" t="s">
        <v>103</v>
      </c>
    </row>
    <row r="6">
      <c r="B6" s="112"/>
      <c r="C6" s="113" t="s">
        <v>104</v>
      </c>
    </row>
    <row r="7">
      <c r="B7" s="114"/>
      <c r="C7" s="115"/>
    </row>
    <row r="8">
      <c r="B8" s="107" t="s">
        <v>105</v>
      </c>
      <c r="C8" s="108" t="s">
        <v>106</v>
      </c>
    </row>
    <row r="9">
      <c r="B9" s="112"/>
      <c r="C9" s="116" t="s">
        <v>107</v>
      </c>
    </row>
    <row r="10">
      <c r="B10" s="114"/>
      <c r="C10" s="115"/>
    </row>
    <row r="11">
      <c r="B11" s="117" t="s">
        <v>108</v>
      </c>
      <c r="C11" s="118" t="s">
        <v>109</v>
      </c>
    </row>
    <row r="12">
      <c r="B12" s="106"/>
      <c r="C12" s="35"/>
    </row>
    <row r="13">
      <c r="B13" s="117" t="s">
        <v>110</v>
      </c>
      <c r="C13" s="118" t="s">
        <v>111</v>
      </c>
    </row>
    <row r="14">
      <c r="B14" s="106"/>
      <c r="C14" s="35"/>
    </row>
    <row r="15">
      <c r="B15" s="107" t="s">
        <v>112</v>
      </c>
      <c r="C15" s="108" t="s">
        <v>113</v>
      </c>
    </row>
    <row r="16">
      <c r="B16" s="112"/>
      <c r="C16" s="113" t="s">
        <v>114</v>
      </c>
    </row>
    <row r="17">
      <c r="B17" s="106"/>
      <c r="C17" s="35"/>
    </row>
    <row r="18">
      <c r="B18" s="119"/>
      <c r="C18" s="108" t="s">
        <v>115</v>
      </c>
    </row>
    <row r="19">
      <c r="B19" s="109"/>
      <c r="C19" s="120" t="s">
        <v>116</v>
      </c>
    </row>
    <row r="20">
      <c r="B20" s="109"/>
      <c r="C20" s="121" t="s">
        <v>117</v>
      </c>
    </row>
    <row r="21">
      <c r="B21" s="112"/>
      <c r="C21" s="122"/>
    </row>
    <row r="22">
      <c r="B22" s="106"/>
      <c r="C22" s="35"/>
    </row>
    <row r="23">
      <c r="B23" s="106"/>
      <c r="C23" s="35"/>
    </row>
    <row r="24">
      <c r="B24" s="106"/>
      <c r="C24" s="35"/>
    </row>
    <row r="25">
      <c r="B25" s="106"/>
      <c r="C25" s="35"/>
    </row>
  </sheetData>
  <hyperlinks>
    <hyperlink r:id="rId1" ref="C4"/>
    <hyperlink r:id="rId2" ref="C6"/>
    <hyperlink r:id="rId3" ref="C9"/>
    <hyperlink r:id="rId4" ref="C16"/>
    <hyperlink r:id="rId5" ref="C20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79EB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2.63"/>
    <col customWidth="1" min="6" max="6" width="18.25"/>
    <col customWidth="1" min="7" max="10" width="12.63"/>
    <col customWidth="1" min="11" max="14" width="13.5"/>
    <col customWidth="1" min="15" max="15" width="12.63"/>
  </cols>
  <sheetData>
    <row r="1">
      <c r="A1" s="123" t="s">
        <v>118</v>
      </c>
      <c r="B1" s="124" t="s">
        <v>119</v>
      </c>
      <c r="C1" s="124" t="s">
        <v>119</v>
      </c>
      <c r="D1" s="124" t="s">
        <v>120</v>
      </c>
      <c r="E1" s="124" t="s">
        <v>121</v>
      </c>
      <c r="F1" s="124" t="s">
        <v>122</v>
      </c>
      <c r="G1" s="124" t="s">
        <v>123</v>
      </c>
      <c r="H1" s="125" t="s">
        <v>0</v>
      </c>
      <c r="I1" s="124" t="s">
        <v>124</v>
      </c>
      <c r="J1" s="126"/>
      <c r="K1" s="126"/>
      <c r="L1" s="126"/>
      <c r="M1" s="126"/>
      <c r="N1" s="126"/>
      <c r="O1" s="126"/>
    </row>
    <row r="2" ht="15.75" customHeight="1">
      <c r="A2" s="123">
        <v>2012.0</v>
      </c>
      <c r="B2" s="124" t="s">
        <v>125</v>
      </c>
      <c r="C2" s="124" t="s">
        <v>31</v>
      </c>
      <c r="D2" s="124" t="s">
        <v>26</v>
      </c>
      <c r="E2" s="124" t="s">
        <v>126</v>
      </c>
      <c r="F2" s="124" t="s">
        <v>127</v>
      </c>
      <c r="G2" s="124" t="s">
        <v>128</v>
      </c>
      <c r="H2" s="125">
        <v>253.0</v>
      </c>
      <c r="I2" s="124" t="s">
        <v>20</v>
      </c>
      <c r="J2" s="126"/>
      <c r="K2" s="126"/>
      <c r="L2" s="126"/>
      <c r="M2" s="126"/>
      <c r="N2" s="126"/>
      <c r="O2" s="126"/>
    </row>
    <row r="3">
      <c r="A3" s="123">
        <v>2012.0</v>
      </c>
      <c r="B3" s="124" t="s">
        <v>129</v>
      </c>
      <c r="C3" s="124" t="s">
        <v>32</v>
      </c>
      <c r="D3" s="124" t="s">
        <v>26</v>
      </c>
      <c r="E3" s="124" t="s">
        <v>126</v>
      </c>
      <c r="F3" s="124" t="s">
        <v>112</v>
      </c>
      <c r="G3" s="127" t="s">
        <v>128</v>
      </c>
      <c r="H3" s="125">
        <v>95.0</v>
      </c>
      <c r="I3" s="124" t="s">
        <v>20</v>
      </c>
      <c r="J3" s="126"/>
      <c r="K3" s="128" t="s">
        <v>130</v>
      </c>
      <c r="L3" s="129"/>
      <c r="M3" s="129"/>
      <c r="N3" s="129"/>
      <c r="O3" s="126"/>
    </row>
    <row r="4" ht="15.75" customHeight="1">
      <c r="A4" s="130">
        <v>2012.0</v>
      </c>
      <c r="B4" s="130" t="s">
        <v>129</v>
      </c>
      <c r="C4" s="130" t="s">
        <v>32</v>
      </c>
      <c r="D4" s="130" t="s">
        <v>26</v>
      </c>
      <c r="E4" s="130" t="s">
        <v>126</v>
      </c>
      <c r="F4" s="130" t="s">
        <v>127</v>
      </c>
      <c r="G4" s="131" t="s">
        <v>128</v>
      </c>
      <c r="H4" s="132">
        <v>2302.0</v>
      </c>
      <c r="I4" s="130" t="s">
        <v>20</v>
      </c>
      <c r="J4" s="126"/>
      <c r="K4" s="128" t="s">
        <v>131</v>
      </c>
      <c r="L4" s="133"/>
      <c r="M4" s="133"/>
      <c r="N4" s="133"/>
      <c r="O4" s="126"/>
    </row>
    <row r="5" ht="15.75" customHeight="1">
      <c r="A5" s="123">
        <v>2013.0</v>
      </c>
      <c r="B5" s="124" t="s">
        <v>132</v>
      </c>
      <c r="C5" s="124" t="s">
        <v>33</v>
      </c>
      <c r="D5" s="124" t="s">
        <v>26</v>
      </c>
      <c r="E5" s="124" t="s">
        <v>126</v>
      </c>
      <c r="F5" s="124" t="s">
        <v>112</v>
      </c>
      <c r="G5" s="127" t="s">
        <v>128</v>
      </c>
      <c r="H5" s="125">
        <v>158.0</v>
      </c>
      <c r="I5" s="124" t="s">
        <v>20</v>
      </c>
      <c r="J5" s="126"/>
      <c r="K5" s="126"/>
      <c r="L5" s="134"/>
      <c r="M5" s="134"/>
      <c r="N5" s="134"/>
      <c r="O5" s="126"/>
    </row>
    <row r="6" ht="15.75" customHeight="1">
      <c r="A6" s="130">
        <v>2013.0</v>
      </c>
      <c r="B6" s="130" t="s">
        <v>132</v>
      </c>
      <c r="C6" s="130" t="s">
        <v>33</v>
      </c>
      <c r="D6" s="130" t="s">
        <v>26</v>
      </c>
      <c r="E6" s="130" t="s">
        <v>126</v>
      </c>
      <c r="F6" s="130" t="s">
        <v>127</v>
      </c>
      <c r="G6" s="131" t="s">
        <v>128</v>
      </c>
      <c r="H6" s="132">
        <v>4753.0</v>
      </c>
      <c r="I6" s="130" t="s">
        <v>20</v>
      </c>
      <c r="J6" s="126"/>
      <c r="K6" s="135"/>
      <c r="L6" s="132"/>
      <c r="M6" s="132"/>
      <c r="N6" s="132"/>
      <c r="O6" s="126"/>
    </row>
    <row r="7" ht="15.75" customHeight="1">
      <c r="A7" s="123">
        <v>2013.0</v>
      </c>
      <c r="B7" s="124" t="s">
        <v>133</v>
      </c>
      <c r="C7" s="124" t="s">
        <v>34</v>
      </c>
      <c r="D7" s="124" t="s">
        <v>26</v>
      </c>
      <c r="E7" s="124" t="s">
        <v>126</v>
      </c>
      <c r="F7" s="124" t="s">
        <v>112</v>
      </c>
      <c r="G7" s="127" t="s">
        <v>128</v>
      </c>
      <c r="H7" s="125">
        <v>184.0</v>
      </c>
      <c r="I7" s="124" t="s">
        <v>20</v>
      </c>
      <c r="J7" s="126"/>
      <c r="K7" s="135"/>
      <c r="L7" s="132"/>
      <c r="M7" s="132"/>
      <c r="N7" s="132"/>
      <c r="O7" s="126"/>
    </row>
    <row r="8" ht="15.75" customHeight="1">
      <c r="A8" s="130">
        <v>2013.0</v>
      </c>
      <c r="B8" s="130" t="s">
        <v>133</v>
      </c>
      <c r="C8" s="130" t="s">
        <v>34</v>
      </c>
      <c r="D8" s="130" t="s">
        <v>26</v>
      </c>
      <c r="E8" s="130" t="s">
        <v>126</v>
      </c>
      <c r="F8" s="130" t="s">
        <v>127</v>
      </c>
      <c r="G8" s="131" t="s">
        <v>128</v>
      </c>
      <c r="H8" s="132">
        <v>4978.0</v>
      </c>
      <c r="I8" s="130" t="s">
        <v>20</v>
      </c>
      <c r="J8" s="126"/>
      <c r="K8" s="135"/>
      <c r="L8" s="132"/>
      <c r="M8" s="132"/>
      <c r="N8" s="132"/>
      <c r="O8" s="126"/>
    </row>
    <row r="9" ht="15.75" customHeight="1">
      <c r="A9" s="123">
        <v>2013.0</v>
      </c>
      <c r="B9" s="124" t="s">
        <v>125</v>
      </c>
      <c r="C9" s="124" t="s">
        <v>35</v>
      </c>
      <c r="D9" s="124" t="s">
        <v>26</v>
      </c>
      <c r="E9" s="124" t="s">
        <v>126</v>
      </c>
      <c r="F9" s="124" t="s">
        <v>112</v>
      </c>
      <c r="G9" s="127" t="s">
        <v>128</v>
      </c>
      <c r="H9" s="125">
        <v>162.0</v>
      </c>
      <c r="I9" s="124" t="s">
        <v>20</v>
      </c>
      <c r="J9" s="126"/>
      <c r="K9" s="136"/>
      <c r="L9" s="132"/>
      <c r="M9" s="132"/>
      <c r="N9" s="132"/>
      <c r="O9" s="126"/>
    </row>
    <row r="10" ht="15.75" customHeight="1">
      <c r="A10" s="123">
        <v>2013.0</v>
      </c>
      <c r="B10" s="124" t="s">
        <v>125</v>
      </c>
      <c r="C10" s="124" t="s">
        <v>35</v>
      </c>
      <c r="D10" s="124" t="s">
        <v>26</v>
      </c>
      <c r="E10" s="124" t="s">
        <v>126</v>
      </c>
      <c r="F10" s="124" t="s">
        <v>134</v>
      </c>
      <c r="G10" s="127" t="s">
        <v>134</v>
      </c>
      <c r="H10" s="125">
        <v>1224.0</v>
      </c>
      <c r="I10" s="124" t="s">
        <v>20</v>
      </c>
      <c r="J10" s="126"/>
      <c r="K10" s="136"/>
      <c r="L10" s="132"/>
      <c r="M10" s="132"/>
      <c r="N10" s="132"/>
      <c r="O10" s="126"/>
    </row>
    <row r="11" ht="15.75" customHeight="1">
      <c r="A11" s="130">
        <v>2013.0</v>
      </c>
      <c r="B11" s="130" t="s">
        <v>125</v>
      </c>
      <c r="C11" s="130" t="s">
        <v>35</v>
      </c>
      <c r="D11" s="130" t="s">
        <v>26</v>
      </c>
      <c r="E11" s="130" t="s">
        <v>126</v>
      </c>
      <c r="F11" s="130" t="s">
        <v>127</v>
      </c>
      <c r="G11" s="131" t="s">
        <v>128</v>
      </c>
      <c r="H11" s="132">
        <v>4126.0</v>
      </c>
      <c r="I11" s="130" t="s">
        <v>20</v>
      </c>
      <c r="J11" s="126"/>
      <c r="K11" s="136"/>
      <c r="L11" s="132"/>
      <c r="M11" s="132"/>
      <c r="N11" s="132"/>
      <c r="O11" s="126"/>
    </row>
    <row r="12" ht="15.75" customHeight="1">
      <c r="A12" s="123">
        <v>2013.0</v>
      </c>
      <c r="B12" s="124" t="s">
        <v>129</v>
      </c>
      <c r="C12" s="124" t="s">
        <v>36</v>
      </c>
      <c r="D12" s="124" t="s">
        <v>26</v>
      </c>
      <c r="E12" s="124" t="s">
        <v>126</v>
      </c>
      <c r="F12" s="124" t="s">
        <v>112</v>
      </c>
      <c r="G12" s="127" t="s">
        <v>128</v>
      </c>
      <c r="H12" s="125">
        <v>134.0</v>
      </c>
      <c r="I12" s="124" t="s">
        <v>20</v>
      </c>
      <c r="J12" s="126"/>
      <c r="K12" s="135"/>
      <c r="L12" s="132"/>
      <c r="M12" s="132"/>
      <c r="N12" s="132"/>
      <c r="O12" s="126"/>
    </row>
    <row r="13" ht="15.75" customHeight="1">
      <c r="A13" s="123">
        <v>2013.0</v>
      </c>
      <c r="B13" s="124" t="s">
        <v>129</v>
      </c>
      <c r="C13" s="124" t="s">
        <v>36</v>
      </c>
      <c r="D13" s="124" t="s">
        <v>26</v>
      </c>
      <c r="E13" s="124" t="s">
        <v>126</v>
      </c>
      <c r="F13" s="124" t="s">
        <v>134</v>
      </c>
      <c r="G13" s="127" t="s">
        <v>134</v>
      </c>
      <c r="H13" s="125">
        <v>2669.0</v>
      </c>
      <c r="I13" s="124" t="s">
        <v>20</v>
      </c>
      <c r="J13" s="126"/>
      <c r="K13" s="135"/>
      <c r="L13" s="132"/>
      <c r="M13" s="132"/>
      <c r="N13" s="132"/>
      <c r="O13" s="126"/>
    </row>
    <row r="14" ht="15.75" customHeight="1">
      <c r="A14" s="130">
        <v>2013.0</v>
      </c>
      <c r="B14" s="130" t="s">
        <v>129</v>
      </c>
      <c r="C14" s="130" t="s">
        <v>36</v>
      </c>
      <c r="D14" s="130" t="s">
        <v>26</v>
      </c>
      <c r="E14" s="130" t="s">
        <v>126</v>
      </c>
      <c r="F14" s="130" t="s">
        <v>127</v>
      </c>
      <c r="G14" s="131" t="s">
        <v>128</v>
      </c>
      <c r="H14" s="132">
        <v>4089.0</v>
      </c>
      <c r="I14" s="130" t="s">
        <v>20</v>
      </c>
      <c r="J14" s="126"/>
      <c r="K14" s="135"/>
      <c r="L14" s="132"/>
      <c r="M14" s="132"/>
      <c r="N14" s="132"/>
      <c r="O14" s="126"/>
    </row>
    <row r="15" ht="15.75" customHeight="1">
      <c r="A15" s="123">
        <v>2014.0</v>
      </c>
      <c r="B15" s="124" t="s">
        <v>132</v>
      </c>
      <c r="C15" s="124" t="s">
        <v>37</v>
      </c>
      <c r="D15" s="124" t="s">
        <v>26</v>
      </c>
      <c r="E15" s="124" t="s">
        <v>126</v>
      </c>
      <c r="F15" s="124" t="s">
        <v>112</v>
      </c>
      <c r="G15" s="127" t="s">
        <v>128</v>
      </c>
      <c r="H15" s="125">
        <v>158.0</v>
      </c>
      <c r="I15" s="124" t="s">
        <v>20</v>
      </c>
      <c r="J15" s="126"/>
      <c r="K15" s="135"/>
      <c r="L15" s="132"/>
      <c r="M15" s="132"/>
      <c r="N15" s="132"/>
      <c r="O15" s="126"/>
    </row>
    <row r="16" ht="15.75" customHeight="1">
      <c r="A16" s="123">
        <v>2014.0</v>
      </c>
      <c r="B16" s="124" t="s">
        <v>132</v>
      </c>
      <c r="C16" s="124" t="s">
        <v>37</v>
      </c>
      <c r="D16" s="124" t="s">
        <v>26</v>
      </c>
      <c r="E16" s="124" t="s">
        <v>126</v>
      </c>
      <c r="F16" s="124" t="s">
        <v>135</v>
      </c>
      <c r="G16" s="127" t="s">
        <v>136</v>
      </c>
      <c r="H16" s="125">
        <v>3.0</v>
      </c>
      <c r="I16" s="124" t="s">
        <v>20</v>
      </c>
      <c r="J16" s="126"/>
      <c r="K16" s="135"/>
      <c r="L16" s="132"/>
      <c r="M16" s="132"/>
      <c r="N16" s="132"/>
      <c r="O16" s="126"/>
    </row>
    <row r="17" ht="15.75" customHeight="1">
      <c r="A17" s="123">
        <v>2014.0</v>
      </c>
      <c r="B17" s="124" t="s">
        <v>132</v>
      </c>
      <c r="C17" s="124" t="s">
        <v>37</v>
      </c>
      <c r="D17" s="124" t="s">
        <v>26</v>
      </c>
      <c r="E17" s="124" t="s">
        <v>126</v>
      </c>
      <c r="F17" s="124" t="s">
        <v>134</v>
      </c>
      <c r="G17" s="127" t="s">
        <v>134</v>
      </c>
      <c r="H17" s="125">
        <v>3073.0</v>
      </c>
      <c r="I17" s="124" t="s">
        <v>20</v>
      </c>
      <c r="J17" s="126"/>
      <c r="K17" s="135"/>
      <c r="L17" s="132"/>
      <c r="M17" s="132"/>
      <c r="N17" s="132"/>
      <c r="O17" s="126"/>
    </row>
    <row r="18" ht="15.75" customHeight="1">
      <c r="A18" s="130">
        <v>2014.0</v>
      </c>
      <c r="B18" s="130" t="s">
        <v>132</v>
      </c>
      <c r="C18" s="130" t="s">
        <v>37</v>
      </c>
      <c r="D18" s="130" t="s">
        <v>26</v>
      </c>
      <c r="E18" s="130" t="s">
        <v>126</v>
      </c>
      <c r="F18" s="130" t="s">
        <v>127</v>
      </c>
      <c r="G18" s="127" t="s">
        <v>128</v>
      </c>
      <c r="H18" s="132">
        <v>3223.0</v>
      </c>
      <c r="I18" s="130" t="s">
        <v>20</v>
      </c>
      <c r="J18" s="126"/>
      <c r="K18" s="126"/>
      <c r="L18" s="134"/>
      <c r="M18" s="134"/>
      <c r="N18" s="134"/>
      <c r="O18" s="126"/>
    </row>
    <row r="19" ht="15.75" customHeight="1">
      <c r="A19" s="123">
        <v>2014.0</v>
      </c>
      <c r="B19" s="124" t="s">
        <v>133</v>
      </c>
      <c r="C19" s="124" t="s">
        <v>38</v>
      </c>
      <c r="D19" s="124" t="s">
        <v>26</v>
      </c>
      <c r="E19" s="124" t="s">
        <v>126</v>
      </c>
      <c r="F19" s="124" t="s">
        <v>112</v>
      </c>
      <c r="G19" s="127" t="s">
        <v>128</v>
      </c>
      <c r="H19" s="125">
        <v>186.0</v>
      </c>
      <c r="I19" s="124" t="s">
        <v>20</v>
      </c>
      <c r="J19" s="126"/>
      <c r="K19" s="126"/>
      <c r="L19" s="134"/>
      <c r="M19" s="134"/>
      <c r="N19" s="134"/>
      <c r="O19" s="126"/>
    </row>
    <row r="20" ht="15.75" customHeight="1">
      <c r="A20" s="123">
        <v>2014.0</v>
      </c>
      <c r="B20" s="124" t="s">
        <v>133</v>
      </c>
      <c r="C20" s="124" t="s">
        <v>38</v>
      </c>
      <c r="D20" s="124" t="s">
        <v>26</v>
      </c>
      <c r="E20" s="124" t="s">
        <v>126</v>
      </c>
      <c r="F20" s="124" t="s">
        <v>135</v>
      </c>
      <c r="G20" s="127" t="s">
        <v>136</v>
      </c>
      <c r="H20" s="125">
        <v>1543.0</v>
      </c>
      <c r="I20" s="124" t="s">
        <v>20</v>
      </c>
      <c r="J20" s="126"/>
      <c r="K20" s="126"/>
      <c r="L20" s="134"/>
      <c r="M20" s="134"/>
      <c r="N20" s="134"/>
      <c r="O20" s="126"/>
    </row>
    <row r="21" ht="15.75" customHeight="1">
      <c r="A21" s="123">
        <v>2014.0</v>
      </c>
      <c r="B21" s="124" t="s">
        <v>133</v>
      </c>
      <c r="C21" s="124" t="s">
        <v>38</v>
      </c>
      <c r="D21" s="124" t="s">
        <v>26</v>
      </c>
      <c r="E21" s="124" t="s">
        <v>126</v>
      </c>
      <c r="F21" s="124" t="s">
        <v>134</v>
      </c>
      <c r="G21" s="127" t="s">
        <v>134</v>
      </c>
      <c r="H21" s="125">
        <v>2519.0</v>
      </c>
      <c r="I21" s="124" t="s">
        <v>20</v>
      </c>
      <c r="J21" s="126"/>
      <c r="K21" s="126"/>
      <c r="L21" s="134"/>
      <c r="M21" s="134"/>
      <c r="N21" s="134"/>
      <c r="O21" s="126"/>
    </row>
    <row r="22" ht="15.75" customHeight="1">
      <c r="A22" s="130">
        <v>2014.0</v>
      </c>
      <c r="B22" s="130" t="s">
        <v>133</v>
      </c>
      <c r="C22" s="130" t="s">
        <v>38</v>
      </c>
      <c r="D22" s="130" t="s">
        <v>26</v>
      </c>
      <c r="E22" s="130" t="s">
        <v>126</v>
      </c>
      <c r="F22" s="130" t="s">
        <v>127</v>
      </c>
      <c r="G22" s="127" t="s">
        <v>128</v>
      </c>
      <c r="H22" s="132">
        <v>3331.0</v>
      </c>
      <c r="I22" s="130" t="s">
        <v>20</v>
      </c>
      <c r="J22" s="126"/>
      <c r="K22" s="126"/>
      <c r="L22" s="126"/>
      <c r="M22" s="126"/>
      <c r="N22" s="126"/>
      <c r="O22" s="126"/>
    </row>
    <row r="23" ht="15.75" customHeight="1">
      <c r="A23" s="123">
        <v>2014.0</v>
      </c>
      <c r="B23" s="124" t="s">
        <v>125</v>
      </c>
      <c r="C23" s="124" t="s">
        <v>39</v>
      </c>
      <c r="D23" s="124" t="s">
        <v>26</v>
      </c>
      <c r="E23" s="124" t="s">
        <v>126</v>
      </c>
      <c r="F23" s="124" t="s">
        <v>112</v>
      </c>
      <c r="G23" s="124" t="s">
        <v>128</v>
      </c>
      <c r="H23" s="125">
        <v>230.0</v>
      </c>
      <c r="I23" s="124" t="s">
        <v>20</v>
      </c>
      <c r="J23" s="126"/>
      <c r="K23" s="126"/>
      <c r="L23" s="126"/>
      <c r="M23" s="126"/>
      <c r="N23" s="126"/>
      <c r="O23" s="126"/>
    </row>
    <row r="24" ht="15.75" customHeight="1">
      <c r="A24" s="123">
        <v>2014.0</v>
      </c>
      <c r="B24" s="124" t="s">
        <v>125</v>
      </c>
      <c r="C24" s="124" t="s">
        <v>39</v>
      </c>
      <c r="D24" s="124" t="s">
        <v>26</v>
      </c>
      <c r="E24" s="124" t="s">
        <v>126</v>
      </c>
      <c r="F24" s="124" t="s">
        <v>135</v>
      </c>
      <c r="G24" s="127" t="s">
        <v>136</v>
      </c>
      <c r="H24" s="125">
        <v>1026.0</v>
      </c>
      <c r="I24" s="124" t="s">
        <v>20</v>
      </c>
      <c r="J24" s="126"/>
      <c r="K24" s="126"/>
      <c r="L24" s="126"/>
      <c r="M24" s="126"/>
      <c r="N24" s="126"/>
      <c r="O24" s="126"/>
    </row>
    <row r="25" ht="15.75" customHeight="1">
      <c r="A25" s="123">
        <v>2014.0</v>
      </c>
      <c r="B25" s="124" t="s">
        <v>125</v>
      </c>
      <c r="C25" s="124" t="s">
        <v>39</v>
      </c>
      <c r="D25" s="124" t="s">
        <v>26</v>
      </c>
      <c r="E25" s="124" t="s">
        <v>126</v>
      </c>
      <c r="F25" s="124" t="s">
        <v>134</v>
      </c>
      <c r="G25" s="127" t="s">
        <v>134</v>
      </c>
      <c r="H25" s="125">
        <v>1653.0</v>
      </c>
      <c r="I25" s="124" t="s">
        <v>20</v>
      </c>
      <c r="J25" s="126"/>
      <c r="K25" s="126"/>
      <c r="L25" s="126"/>
      <c r="M25" s="126"/>
      <c r="N25" s="126"/>
      <c r="O25" s="126"/>
    </row>
    <row r="26" ht="15.75" customHeight="1">
      <c r="A26" s="123">
        <v>2014.0</v>
      </c>
      <c r="B26" s="124" t="s">
        <v>125</v>
      </c>
      <c r="C26" s="124" t="s">
        <v>39</v>
      </c>
      <c r="D26" s="124" t="s">
        <v>26</v>
      </c>
      <c r="E26" s="124" t="s">
        <v>126</v>
      </c>
      <c r="F26" s="124" t="s">
        <v>137</v>
      </c>
      <c r="G26" s="127" t="s">
        <v>136</v>
      </c>
      <c r="H26" s="125">
        <v>162.0</v>
      </c>
      <c r="I26" s="124" t="s">
        <v>20</v>
      </c>
      <c r="J26" s="126"/>
      <c r="K26" s="126"/>
      <c r="L26" s="126"/>
      <c r="M26" s="126"/>
      <c r="N26" s="126"/>
      <c r="O26" s="126"/>
    </row>
    <row r="27" ht="15.75" customHeight="1">
      <c r="A27" s="130">
        <v>2014.0</v>
      </c>
      <c r="B27" s="130" t="s">
        <v>125</v>
      </c>
      <c r="C27" s="130" t="s">
        <v>39</v>
      </c>
      <c r="D27" s="130" t="s">
        <v>26</v>
      </c>
      <c r="E27" s="130" t="s">
        <v>126</v>
      </c>
      <c r="F27" s="130" t="s">
        <v>127</v>
      </c>
      <c r="G27" s="127" t="s">
        <v>128</v>
      </c>
      <c r="H27" s="132">
        <v>4714.0</v>
      </c>
      <c r="I27" s="130" t="s">
        <v>20</v>
      </c>
      <c r="J27" s="126"/>
      <c r="K27" s="126"/>
      <c r="L27" s="126"/>
      <c r="M27" s="126"/>
      <c r="N27" s="126"/>
      <c r="O27" s="126"/>
    </row>
    <row r="28" ht="15.75" customHeight="1">
      <c r="A28" s="123">
        <v>2014.0</v>
      </c>
      <c r="B28" s="124" t="s">
        <v>129</v>
      </c>
      <c r="C28" s="124" t="s">
        <v>40</v>
      </c>
      <c r="D28" s="124" t="s">
        <v>26</v>
      </c>
      <c r="E28" s="124" t="s">
        <v>126</v>
      </c>
      <c r="F28" s="124" t="s">
        <v>112</v>
      </c>
      <c r="G28" s="127" t="s">
        <v>128</v>
      </c>
      <c r="H28" s="125">
        <v>210.0</v>
      </c>
      <c r="I28" s="124" t="s">
        <v>20</v>
      </c>
      <c r="J28" s="126"/>
      <c r="K28" s="126"/>
      <c r="L28" s="126"/>
      <c r="M28" s="126"/>
      <c r="N28" s="126"/>
      <c r="O28" s="126"/>
    </row>
    <row r="29" ht="15.75" customHeight="1">
      <c r="A29" s="123">
        <v>2014.0</v>
      </c>
      <c r="B29" s="124" t="s">
        <v>129</v>
      </c>
      <c r="C29" s="124" t="s">
        <v>40</v>
      </c>
      <c r="D29" s="124" t="s">
        <v>26</v>
      </c>
      <c r="E29" s="124" t="s">
        <v>126</v>
      </c>
      <c r="F29" s="124" t="s">
        <v>135</v>
      </c>
      <c r="G29" s="127" t="s">
        <v>136</v>
      </c>
      <c r="H29" s="125">
        <v>1550.0</v>
      </c>
      <c r="I29" s="124" t="s">
        <v>20</v>
      </c>
      <c r="J29" s="126"/>
      <c r="L29" s="126"/>
      <c r="M29" s="126"/>
      <c r="N29" s="126"/>
      <c r="O29" s="126"/>
    </row>
    <row r="30" ht="15.75" customHeight="1">
      <c r="A30" s="123">
        <v>2014.0</v>
      </c>
      <c r="B30" s="124" t="s">
        <v>129</v>
      </c>
      <c r="C30" s="124" t="s">
        <v>40</v>
      </c>
      <c r="D30" s="124" t="s">
        <v>26</v>
      </c>
      <c r="E30" s="124" t="s">
        <v>126</v>
      </c>
      <c r="F30" s="124" t="s">
        <v>134</v>
      </c>
      <c r="G30" s="127" t="s">
        <v>134</v>
      </c>
      <c r="H30" s="125">
        <v>2276.0</v>
      </c>
      <c r="I30" s="124" t="s">
        <v>20</v>
      </c>
      <c r="J30" s="126"/>
      <c r="L30" s="126"/>
      <c r="M30" s="126"/>
      <c r="N30" s="126"/>
      <c r="O30" s="126"/>
    </row>
    <row r="31" ht="15.75" customHeight="1">
      <c r="A31" s="123">
        <v>2014.0</v>
      </c>
      <c r="B31" s="124" t="s">
        <v>129</v>
      </c>
      <c r="C31" s="124" t="s">
        <v>40</v>
      </c>
      <c r="D31" s="124" t="s">
        <v>26</v>
      </c>
      <c r="E31" s="124" t="s">
        <v>126</v>
      </c>
      <c r="F31" s="124" t="s">
        <v>137</v>
      </c>
      <c r="G31" s="127" t="s">
        <v>136</v>
      </c>
      <c r="H31" s="125">
        <v>377.0</v>
      </c>
      <c r="I31" s="124" t="s">
        <v>20</v>
      </c>
      <c r="J31" s="126"/>
      <c r="K31" s="126"/>
      <c r="L31" s="126"/>
      <c r="M31" s="126"/>
      <c r="N31" s="126"/>
      <c r="O31" s="126"/>
    </row>
    <row r="32" ht="15.75" customHeight="1">
      <c r="A32" s="130">
        <v>2014.0</v>
      </c>
      <c r="B32" s="130" t="s">
        <v>129</v>
      </c>
      <c r="C32" s="130" t="s">
        <v>40</v>
      </c>
      <c r="D32" s="130" t="s">
        <v>26</v>
      </c>
      <c r="E32" s="130" t="s">
        <v>126</v>
      </c>
      <c r="F32" s="130" t="s">
        <v>127</v>
      </c>
      <c r="G32" s="131" t="s">
        <v>128</v>
      </c>
      <c r="H32" s="132">
        <v>5421.0</v>
      </c>
      <c r="I32" s="130" t="s">
        <v>20</v>
      </c>
      <c r="J32" s="126"/>
      <c r="K32" s="126"/>
      <c r="L32" s="126"/>
      <c r="M32" s="126"/>
      <c r="N32" s="126"/>
      <c r="O32" s="126"/>
    </row>
    <row r="33" ht="15.75" customHeight="1">
      <c r="A33" s="123">
        <v>2015.0</v>
      </c>
      <c r="B33" s="124" t="s">
        <v>132</v>
      </c>
      <c r="C33" s="124" t="s">
        <v>41</v>
      </c>
      <c r="D33" s="124" t="s">
        <v>26</v>
      </c>
      <c r="E33" s="124" t="s">
        <v>126</v>
      </c>
      <c r="F33" s="124" t="s">
        <v>112</v>
      </c>
      <c r="G33" s="127" t="s">
        <v>128</v>
      </c>
      <c r="H33" s="125">
        <v>290.0</v>
      </c>
      <c r="I33" s="124" t="s">
        <v>20</v>
      </c>
      <c r="J33" s="126"/>
      <c r="K33" s="126"/>
      <c r="L33" s="126"/>
      <c r="M33" s="126"/>
      <c r="N33" s="126"/>
      <c r="O33" s="126"/>
    </row>
    <row r="34" ht="15.75" customHeight="1">
      <c r="A34" s="123">
        <v>2015.0</v>
      </c>
      <c r="B34" s="124" t="s">
        <v>132</v>
      </c>
      <c r="C34" s="124" t="s">
        <v>41</v>
      </c>
      <c r="D34" s="124" t="s">
        <v>26</v>
      </c>
      <c r="E34" s="124" t="s">
        <v>126</v>
      </c>
      <c r="F34" s="124" t="s">
        <v>135</v>
      </c>
      <c r="G34" s="127" t="s">
        <v>136</v>
      </c>
      <c r="H34" s="125">
        <v>1055.0</v>
      </c>
      <c r="I34" s="124" t="s">
        <v>20</v>
      </c>
      <c r="J34" s="126"/>
      <c r="K34" s="126"/>
      <c r="L34" s="126"/>
      <c r="M34" s="126"/>
      <c r="N34" s="126"/>
      <c r="O34" s="126"/>
    </row>
    <row r="35" ht="15.75" customHeight="1">
      <c r="A35" s="123">
        <v>2015.0</v>
      </c>
      <c r="B35" s="124" t="s">
        <v>132</v>
      </c>
      <c r="C35" s="124" t="s">
        <v>41</v>
      </c>
      <c r="D35" s="124" t="s">
        <v>26</v>
      </c>
      <c r="E35" s="124" t="s">
        <v>126</v>
      </c>
      <c r="F35" s="124" t="s">
        <v>134</v>
      </c>
      <c r="G35" s="127" t="s">
        <v>134</v>
      </c>
      <c r="H35" s="125">
        <v>3465.0</v>
      </c>
      <c r="I35" s="124" t="s">
        <v>20</v>
      </c>
      <c r="J35" s="126"/>
      <c r="K35" s="126"/>
      <c r="L35" s="126"/>
      <c r="M35" s="126"/>
      <c r="N35" s="126"/>
      <c r="O35" s="126"/>
    </row>
    <row r="36" ht="15.75" customHeight="1">
      <c r="A36" s="123">
        <v>2015.0</v>
      </c>
      <c r="B36" s="124" t="s">
        <v>132</v>
      </c>
      <c r="C36" s="124" t="s">
        <v>41</v>
      </c>
      <c r="D36" s="124" t="s">
        <v>26</v>
      </c>
      <c r="E36" s="124" t="s">
        <v>126</v>
      </c>
      <c r="F36" s="124" t="s">
        <v>137</v>
      </c>
      <c r="G36" s="127" t="s">
        <v>136</v>
      </c>
      <c r="H36" s="125">
        <v>610.0</v>
      </c>
      <c r="I36" s="124" t="s">
        <v>20</v>
      </c>
      <c r="J36" s="126"/>
      <c r="K36" s="126"/>
      <c r="L36" s="126"/>
      <c r="M36" s="126"/>
      <c r="N36" s="126"/>
      <c r="O36" s="126"/>
    </row>
    <row r="37" ht="15.75" customHeight="1">
      <c r="A37" s="130">
        <v>2015.0</v>
      </c>
      <c r="B37" s="130" t="s">
        <v>132</v>
      </c>
      <c r="C37" s="130" t="s">
        <v>41</v>
      </c>
      <c r="D37" s="130" t="s">
        <v>26</v>
      </c>
      <c r="E37" s="130" t="s">
        <v>126</v>
      </c>
      <c r="F37" s="130" t="s">
        <v>127</v>
      </c>
      <c r="G37" s="131" t="s">
        <v>128</v>
      </c>
      <c r="H37" s="132">
        <v>4625.0</v>
      </c>
      <c r="I37" s="130" t="s">
        <v>20</v>
      </c>
      <c r="J37" s="126"/>
      <c r="K37" s="126"/>
      <c r="L37" s="126"/>
      <c r="M37" s="126"/>
      <c r="N37" s="126"/>
      <c r="O37" s="126"/>
    </row>
    <row r="38" ht="15.75" customHeight="1">
      <c r="A38" s="123">
        <v>2015.0</v>
      </c>
      <c r="B38" s="124" t="s">
        <v>133</v>
      </c>
      <c r="C38" s="124" t="s">
        <v>42</v>
      </c>
      <c r="D38" s="124" t="s">
        <v>26</v>
      </c>
      <c r="E38" s="124" t="s">
        <v>126</v>
      </c>
      <c r="F38" s="124" t="s">
        <v>112</v>
      </c>
      <c r="G38" s="127" t="s">
        <v>128</v>
      </c>
      <c r="H38" s="125">
        <v>382.0</v>
      </c>
      <c r="I38" s="124" t="s">
        <v>20</v>
      </c>
      <c r="J38" s="126"/>
      <c r="K38" s="126"/>
      <c r="L38" s="126"/>
      <c r="M38" s="126"/>
      <c r="N38" s="126"/>
      <c r="O38" s="126"/>
    </row>
    <row r="39" ht="15.75" customHeight="1">
      <c r="A39" s="123">
        <v>2015.0</v>
      </c>
      <c r="B39" s="124" t="s">
        <v>133</v>
      </c>
      <c r="C39" s="124" t="s">
        <v>42</v>
      </c>
      <c r="D39" s="124" t="s">
        <v>26</v>
      </c>
      <c r="E39" s="124" t="s">
        <v>126</v>
      </c>
      <c r="F39" s="124" t="s">
        <v>135</v>
      </c>
      <c r="G39" s="127" t="s">
        <v>136</v>
      </c>
      <c r="H39" s="125">
        <v>737.0</v>
      </c>
      <c r="I39" s="124" t="s">
        <v>20</v>
      </c>
      <c r="J39" s="126"/>
      <c r="K39" s="126"/>
      <c r="L39" s="126"/>
      <c r="M39" s="126"/>
      <c r="N39" s="126"/>
      <c r="O39" s="126"/>
    </row>
    <row r="40" ht="15.75" customHeight="1">
      <c r="A40" s="123">
        <v>2015.0</v>
      </c>
      <c r="B40" s="124" t="s">
        <v>133</v>
      </c>
      <c r="C40" s="124" t="s">
        <v>42</v>
      </c>
      <c r="D40" s="124" t="s">
        <v>26</v>
      </c>
      <c r="E40" s="124" t="s">
        <v>126</v>
      </c>
      <c r="F40" s="124" t="s">
        <v>134</v>
      </c>
      <c r="G40" s="127" t="s">
        <v>134</v>
      </c>
      <c r="H40" s="125">
        <v>3891.0</v>
      </c>
      <c r="I40" s="124" t="s">
        <v>20</v>
      </c>
      <c r="J40" s="126"/>
      <c r="K40" s="126"/>
      <c r="L40" s="126"/>
      <c r="M40" s="126"/>
      <c r="N40" s="126"/>
      <c r="O40" s="126"/>
    </row>
    <row r="41" ht="15.75" customHeight="1">
      <c r="A41" s="123">
        <v>2015.0</v>
      </c>
      <c r="B41" s="124" t="s">
        <v>133</v>
      </c>
      <c r="C41" s="124" t="s">
        <v>42</v>
      </c>
      <c r="D41" s="124" t="s">
        <v>26</v>
      </c>
      <c r="E41" s="124" t="s">
        <v>126</v>
      </c>
      <c r="F41" s="124" t="s">
        <v>137</v>
      </c>
      <c r="G41" s="127" t="s">
        <v>136</v>
      </c>
      <c r="H41" s="125">
        <v>499.0</v>
      </c>
      <c r="I41" s="124" t="s">
        <v>20</v>
      </c>
      <c r="J41" s="126"/>
      <c r="K41" s="126"/>
      <c r="L41" s="126"/>
      <c r="M41" s="126"/>
      <c r="N41" s="126"/>
      <c r="O41" s="126"/>
    </row>
    <row r="42" ht="15.75" customHeight="1">
      <c r="A42" s="130">
        <v>2015.0</v>
      </c>
      <c r="B42" s="130" t="s">
        <v>133</v>
      </c>
      <c r="C42" s="130" t="s">
        <v>42</v>
      </c>
      <c r="D42" s="130" t="s">
        <v>26</v>
      </c>
      <c r="E42" s="130" t="s">
        <v>126</v>
      </c>
      <c r="F42" s="130" t="s">
        <v>127</v>
      </c>
      <c r="G42" s="131" t="s">
        <v>128</v>
      </c>
      <c r="H42" s="132">
        <v>6023.0</v>
      </c>
      <c r="I42" s="130" t="s">
        <v>20</v>
      </c>
      <c r="J42" s="126"/>
      <c r="K42" s="126"/>
      <c r="L42" s="126"/>
      <c r="M42" s="126"/>
      <c r="N42" s="126"/>
      <c r="O42" s="126"/>
    </row>
    <row r="43" ht="15.75" customHeight="1">
      <c r="A43" s="123">
        <v>2015.0</v>
      </c>
      <c r="B43" s="124" t="s">
        <v>125</v>
      </c>
      <c r="C43" s="124" t="s">
        <v>43</v>
      </c>
      <c r="D43" s="124" t="s">
        <v>26</v>
      </c>
      <c r="E43" s="124" t="s">
        <v>126</v>
      </c>
      <c r="F43" s="124" t="s">
        <v>112</v>
      </c>
      <c r="G43" s="127" t="s">
        <v>128</v>
      </c>
      <c r="H43" s="125">
        <v>386.0</v>
      </c>
      <c r="I43" s="124" t="s">
        <v>20</v>
      </c>
      <c r="J43" s="126"/>
      <c r="K43" s="126"/>
      <c r="L43" s="126"/>
      <c r="M43" s="126"/>
      <c r="N43" s="126"/>
      <c r="O43" s="126"/>
    </row>
    <row r="44" ht="15.75" customHeight="1">
      <c r="A44" s="123">
        <v>2015.0</v>
      </c>
      <c r="B44" s="124" t="s">
        <v>125</v>
      </c>
      <c r="C44" s="124" t="s">
        <v>43</v>
      </c>
      <c r="D44" s="124" t="s">
        <v>26</v>
      </c>
      <c r="E44" s="124" t="s">
        <v>126</v>
      </c>
      <c r="F44" s="124" t="s">
        <v>135</v>
      </c>
      <c r="G44" s="127" t="s">
        <v>136</v>
      </c>
      <c r="H44" s="125">
        <v>842.0</v>
      </c>
      <c r="I44" s="124" t="s">
        <v>20</v>
      </c>
      <c r="J44" s="126"/>
      <c r="K44" s="126"/>
      <c r="L44" s="126"/>
      <c r="M44" s="126"/>
      <c r="N44" s="126"/>
      <c r="O44" s="126"/>
    </row>
    <row r="45" ht="15.75" customHeight="1">
      <c r="A45" s="123">
        <v>2015.0</v>
      </c>
      <c r="B45" s="124" t="s">
        <v>125</v>
      </c>
      <c r="C45" s="124" t="s">
        <v>43</v>
      </c>
      <c r="D45" s="124" t="s">
        <v>26</v>
      </c>
      <c r="E45" s="124" t="s">
        <v>126</v>
      </c>
      <c r="F45" s="124" t="s">
        <v>134</v>
      </c>
      <c r="G45" s="127" t="s">
        <v>134</v>
      </c>
      <c r="H45" s="125">
        <v>3520.0</v>
      </c>
      <c r="I45" s="124" t="s">
        <v>20</v>
      </c>
      <c r="J45" s="126"/>
      <c r="K45" s="126"/>
      <c r="L45" s="126"/>
      <c r="M45" s="126"/>
      <c r="N45" s="126"/>
      <c r="O45" s="126"/>
    </row>
    <row r="46" ht="15.75" customHeight="1">
      <c r="A46" s="123">
        <v>2015.0</v>
      </c>
      <c r="B46" s="124" t="s">
        <v>125</v>
      </c>
      <c r="C46" s="124" t="s">
        <v>43</v>
      </c>
      <c r="D46" s="124" t="s">
        <v>26</v>
      </c>
      <c r="E46" s="124" t="s">
        <v>126</v>
      </c>
      <c r="F46" s="124" t="s">
        <v>137</v>
      </c>
      <c r="G46" s="127" t="s">
        <v>136</v>
      </c>
      <c r="H46" s="125">
        <v>793.0</v>
      </c>
      <c r="I46" s="124" t="s">
        <v>20</v>
      </c>
      <c r="J46" s="126"/>
      <c r="K46" s="126"/>
      <c r="L46" s="126"/>
      <c r="M46" s="126"/>
      <c r="N46" s="126"/>
      <c r="O46" s="126"/>
    </row>
    <row r="47" ht="15.75" customHeight="1">
      <c r="A47" s="130">
        <v>2015.0</v>
      </c>
      <c r="B47" s="130" t="s">
        <v>125</v>
      </c>
      <c r="C47" s="130" t="s">
        <v>43</v>
      </c>
      <c r="D47" s="130" t="s">
        <v>26</v>
      </c>
      <c r="E47" s="130" t="s">
        <v>126</v>
      </c>
      <c r="F47" s="130" t="s">
        <v>127</v>
      </c>
      <c r="G47" s="131" t="s">
        <v>128</v>
      </c>
      <c r="H47" s="132">
        <v>6062.0</v>
      </c>
      <c r="I47" s="130" t="s">
        <v>20</v>
      </c>
      <c r="J47" s="126"/>
      <c r="K47" s="126"/>
      <c r="L47" s="126"/>
      <c r="M47" s="126"/>
      <c r="N47" s="126"/>
      <c r="O47" s="126"/>
    </row>
    <row r="48" ht="15.75" customHeight="1">
      <c r="A48" s="123">
        <v>2015.0</v>
      </c>
      <c r="B48" s="124" t="s">
        <v>129</v>
      </c>
      <c r="C48" s="124" t="s">
        <v>44</v>
      </c>
      <c r="D48" s="124" t="s">
        <v>26</v>
      </c>
      <c r="E48" s="124" t="s">
        <v>126</v>
      </c>
      <c r="F48" s="124" t="s">
        <v>112</v>
      </c>
      <c r="G48" s="127" t="s">
        <v>128</v>
      </c>
      <c r="H48" s="125">
        <v>542.0</v>
      </c>
      <c r="I48" s="124" t="s">
        <v>20</v>
      </c>
      <c r="J48" s="126"/>
      <c r="K48" s="126"/>
      <c r="L48" s="126"/>
      <c r="M48" s="126"/>
      <c r="N48" s="126"/>
      <c r="O48" s="126"/>
    </row>
    <row r="49" ht="15.75" customHeight="1">
      <c r="A49" s="123">
        <v>2015.0</v>
      </c>
      <c r="B49" s="124" t="s">
        <v>129</v>
      </c>
      <c r="C49" s="124" t="s">
        <v>44</v>
      </c>
      <c r="D49" s="124" t="s">
        <v>26</v>
      </c>
      <c r="E49" s="124" t="s">
        <v>126</v>
      </c>
      <c r="F49" s="124" t="s">
        <v>135</v>
      </c>
      <c r="G49" s="127" t="s">
        <v>136</v>
      </c>
      <c r="H49" s="125">
        <v>1058.0</v>
      </c>
      <c r="I49" s="124" t="s">
        <v>20</v>
      </c>
      <c r="J49" s="126"/>
      <c r="K49" s="126"/>
      <c r="L49" s="126"/>
      <c r="M49" s="126"/>
      <c r="N49" s="126"/>
      <c r="O49" s="126"/>
    </row>
    <row r="50" ht="15.75" customHeight="1">
      <c r="A50" s="123">
        <v>2015.0</v>
      </c>
      <c r="B50" s="124" t="s">
        <v>129</v>
      </c>
      <c r="C50" s="124" t="s">
        <v>44</v>
      </c>
      <c r="D50" s="124" t="s">
        <v>26</v>
      </c>
      <c r="E50" s="124" t="s">
        <v>126</v>
      </c>
      <c r="F50" s="124" t="s">
        <v>134</v>
      </c>
      <c r="G50" s="127" t="s">
        <v>134</v>
      </c>
      <c r="H50" s="125">
        <v>5825.0</v>
      </c>
      <c r="I50" s="124" t="s">
        <v>20</v>
      </c>
      <c r="J50" s="126"/>
      <c r="K50" s="126"/>
      <c r="L50" s="126"/>
      <c r="M50" s="126"/>
      <c r="N50" s="126"/>
      <c r="O50" s="126"/>
    </row>
    <row r="51" ht="15.75" customHeight="1">
      <c r="A51" s="123">
        <v>2015.0</v>
      </c>
      <c r="B51" s="124" t="s">
        <v>129</v>
      </c>
      <c r="C51" s="124" t="s">
        <v>44</v>
      </c>
      <c r="D51" s="124" t="s">
        <v>26</v>
      </c>
      <c r="E51" s="124" t="s">
        <v>126</v>
      </c>
      <c r="F51" s="124" t="s">
        <v>137</v>
      </c>
      <c r="G51" s="127" t="s">
        <v>136</v>
      </c>
      <c r="H51" s="125">
        <v>1561.0</v>
      </c>
      <c r="I51" s="124" t="s">
        <v>20</v>
      </c>
      <c r="J51" s="126"/>
      <c r="K51" s="126"/>
      <c r="L51" s="126"/>
      <c r="M51" s="126"/>
      <c r="N51" s="126"/>
      <c r="O51" s="126"/>
    </row>
    <row r="52">
      <c r="A52" s="130">
        <v>2015.0</v>
      </c>
      <c r="B52" s="130" t="s">
        <v>129</v>
      </c>
      <c r="C52" s="130" t="s">
        <v>44</v>
      </c>
      <c r="D52" s="130" t="s">
        <v>26</v>
      </c>
      <c r="E52" s="130" t="s">
        <v>126</v>
      </c>
      <c r="F52" s="130" t="s">
        <v>127</v>
      </c>
      <c r="G52" s="131" t="s">
        <v>128</v>
      </c>
      <c r="H52" s="132">
        <v>8492.0</v>
      </c>
      <c r="I52" s="130" t="s">
        <v>20</v>
      </c>
      <c r="J52" s="126"/>
      <c r="K52" s="126"/>
      <c r="L52" s="126"/>
      <c r="M52" s="126"/>
      <c r="N52" s="126"/>
      <c r="O52" s="126"/>
    </row>
    <row r="53" ht="15.75" customHeight="1">
      <c r="A53" s="123">
        <v>2016.0</v>
      </c>
      <c r="B53" s="124" t="s">
        <v>132</v>
      </c>
      <c r="C53" s="124" t="s">
        <v>45</v>
      </c>
      <c r="D53" s="124" t="s">
        <v>26</v>
      </c>
      <c r="E53" s="124" t="s">
        <v>126</v>
      </c>
      <c r="F53" s="124" t="s">
        <v>112</v>
      </c>
      <c r="G53" s="127" t="s">
        <v>128</v>
      </c>
      <c r="H53" s="125">
        <v>398.0</v>
      </c>
      <c r="I53" s="124" t="s">
        <v>20</v>
      </c>
      <c r="J53" s="126"/>
      <c r="K53" s="126"/>
      <c r="L53" s="126"/>
      <c r="M53" s="126"/>
      <c r="N53" s="126"/>
      <c r="O53" s="126"/>
    </row>
    <row r="54" ht="15.75" customHeight="1">
      <c r="A54" s="123">
        <v>2016.0</v>
      </c>
      <c r="B54" s="124" t="s">
        <v>132</v>
      </c>
      <c r="C54" s="124" t="s">
        <v>45</v>
      </c>
      <c r="D54" s="124" t="s">
        <v>26</v>
      </c>
      <c r="E54" s="124" t="s">
        <v>126</v>
      </c>
      <c r="F54" s="124" t="s">
        <v>135</v>
      </c>
      <c r="G54" s="127" t="s">
        <v>136</v>
      </c>
      <c r="H54" s="125">
        <v>1361.0</v>
      </c>
      <c r="I54" s="124" t="s">
        <v>20</v>
      </c>
      <c r="J54" s="126"/>
      <c r="K54" s="126"/>
      <c r="L54" s="126"/>
      <c r="M54" s="126"/>
      <c r="N54" s="126"/>
      <c r="O54" s="126"/>
    </row>
    <row r="55" ht="15.75" customHeight="1">
      <c r="A55" s="123">
        <v>2016.0</v>
      </c>
      <c r="B55" s="124" t="s">
        <v>132</v>
      </c>
      <c r="C55" s="124" t="s">
        <v>45</v>
      </c>
      <c r="D55" s="124" t="s">
        <v>26</v>
      </c>
      <c r="E55" s="124" t="s">
        <v>126</v>
      </c>
      <c r="F55" s="124" t="s">
        <v>134</v>
      </c>
      <c r="G55" s="127" t="s">
        <v>134</v>
      </c>
      <c r="H55" s="125">
        <v>3849.0</v>
      </c>
      <c r="I55" s="124" t="s">
        <v>20</v>
      </c>
      <c r="J55" s="126"/>
      <c r="K55" s="126"/>
      <c r="L55" s="126"/>
      <c r="M55" s="126"/>
      <c r="N55" s="126"/>
      <c r="O55" s="126"/>
    </row>
    <row r="56" ht="15.75" customHeight="1">
      <c r="A56" s="123">
        <v>2016.0</v>
      </c>
      <c r="B56" s="124" t="s">
        <v>132</v>
      </c>
      <c r="C56" s="124" t="s">
        <v>45</v>
      </c>
      <c r="D56" s="124" t="s">
        <v>26</v>
      </c>
      <c r="E56" s="124" t="s">
        <v>126</v>
      </c>
      <c r="F56" s="124" t="s">
        <v>137</v>
      </c>
      <c r="G56" s="127" t="s">
        <v>136</v>
      </c>
      <c r="H56" s="125">
        <v>1150.0</v>
      </c>
      <c r="I56" s="124" t="s">
        <v>20</v>
      </c>
      <c r="J56" s="126"/>
      <c r="K56" s="126"/>
      <c r="L56" s="126"/>
      <c r="M56" s="126"/>
      <c r="N56" s="126"/>
      <c r="O56" s="126"/>
    </row>
    <row r="57" ht="15.75" customHeight="1">
      <c r="A57" s="130">
        <v>2016.0</v>
      </c>
      <c r="B57" s="130" t="s">
        <v>132</v>
      </c>
      <c r="C57" s="130" t="s">
        <v>45</v>
      </c>
      <c r="D57" s="130" t="s">
        <v>26</v>
      </c>
      <c r="E57" s="130" t="s">
        <v>126</v>
      </c>
      <c r="F57" s="130" t="s">
        <v>127</v>
      </c>
      <c r="G57" s="131" t="s">
        <v>128</v>
      </c>
      <c r="H57" s="132">
        <v>8052.0</v>
      </c>
      <c r="I57" s="130" t="s">
        <v>20</v>
      </c>
      <c r="J57" s="126"/>
      <c r="K57" s="126"/>
      <c r="L57" s="126"/>
      <c r="M57" s="126"/>
      <c r="N57" s="126"/>
      <c r="O57" s="126"/>
    </row>
    <row r="58" ht="15.75" customHeight="1">
      <c r="A58" s="123">
        <v>2016.0</v>
      </c>
      <c r="B58" s="124" t="s">
        <v>133</v>
      </c>
      <c r="C58" s="124" t="s">
        <v>46</v>
      </c>
      <c r="D58" s="124" t="s">
        <v>26</v>
      </c>
      <c r="E58" s="124" t="s">
        <v>126</v>
      </c>
      <c r="F58" s="124" t="s">
        <v>112</v>
      </c>
      <c r="G58" s="124" t="s">
        <v>128</v>
      </c>
      <c r="H58" s="125">
        <v>465.0</v>
      </c>
      <c r="I58" s="124" t="s">
        <v>20</v>
      </c>
      <c r="J58" s="126"/>
      <c r="K58" s="126"/>
      <c r="L58" s="126"/>
      <c r="M58" s="126"/>
      <c r="N58" s="126"/>
      <c r="O58" s="126"/>
    </row>
    <row r="59" ht="15.75" customHeight="1">
      <c r="A59" s="123">
        <v>2016.0</v>
      </c>
      <c r="B59" s="124" t="s">
        <v>133</v>
      </c>
      <c r="C59" s="124" t="s">
        <v>46</v>
      </c>
      <c r="D59" s="124" t="s">
        <v>26</v>
      </c>
      <c r="E59" s="124" t="s">
        <v>126</v>
      </c>
      <c r="F59" s="124" t="s">
        <v>135</v>
      </c>
      <c r="G59" s="127" t="s">
        <v>136</v>
      </c>
      <c r="H59" s="125">
        <v>782.0</v>
      </c>
      <c r="I59" s="124" t="s">
        <v>20</v>
      </c>
      <c r="J59" s="126"/>
      <c r="K59" s="126"/>
      <c r="L59" s="126"/>
      <c r="M59" s="126"/>
      <c r="N59" s="126"/>
      <c r="O59" s="126"/>
    </row>
    <row r="60" ht="15.75" customHeight="1">
      <c r="A60" s="123">
        <v>2016.0</v>
      </c>
      <c r="B60" s="124" t="s">
        <v>133</v>
      </c>
      <c r="C60" s="124" t="s">
        <v>46</v>
      </c>
      <c r="D60" s="124" t="s">
        <v>26</v>
      </c>
      <c r="E60" s="124" t="s">
        <v>126</v>
      </c>
      <c r="F60" s="124" t="s">
        <v>134</v>
      </c>
      <c r="G60" s="127" t="s">
        <v>134</v>
      </c>
      <c r="H60" s="125">
        <v>2980.0</v>
      </c>
      <c r="I60" s="124" t="s">
        <v>20</v>
      </c>
      <c r="J60" s="126"/>
      <c r="K60" s="126"/>
      <c r="L60" s="126"/>
      <c r="M60" s="126"/>
      <c r="N60" s="126"/>
      <c r="O60" s="126"/>
    </row>
    <row r="61" ht="15.75" customHeight="1">
      <c r="A61" s="123">
        <v>2016.0</v>
      </c>
      <c r="B61" s="124" t="s">
        <v>133</v>
      </c>
      <c r="C61" s="124" t="s">
        <v>46</v>
      </c>
      <c r="D61" s="124" t="s">
        <v>26</v>
      </c>
      <c r="E61" s="124" t="s">
        <v>126</v>
      </c>
      <c r="F61" s="124" t="s">
        <v>137</v>
      </c>
      <c r="G61" s="127" t="s">
        <v>136</v>
      </c>
      <c r="H61" s="125">
        <v>564.0</v>
      </c>
      <c r="I61" s="124" t="s">
        <v>20</v>
      </c>
      <c r="J61" s="126"/>
      <c r="K61" s="126"/>
      <c r="L61" s="126"/>
      <c r="M61" s="126"/>
      <c r="N61" s="126"/>
      <c r="O61" s="126"/>
    </row>
    <row r="62" ht="15.75" customHeight="1">
      <c r="A62" s="130">
        <v>2016.0</v>
      </c>
      <c r="B62" s="130" t="s">
        <v>133</v>
      </c>
      <c r="C62" s="130" t="s">
        <v>46</v>
      </c>
      <c r="D62" s="130" t="s">
        <v>26</v>
      </c>
      <c r="E62" s="130" t="s">
        <v>126</v>
      </c>
      <c r="F62" s="130" t="s">
        <v>127</v>
      </c>
      <c r="G62" s="131" t="s">
        <v>128</v>
      </c>
      <c r="H62" s="132">
        <v>9611.0</v>
      </c>
      <c r="I62" s="130" t="s">
        <v>20</v>
      </c>
      <c r="J62" s="126"/>
      <c r="K62" s="126"/>
      <c r="L62" s="126"/>
      <c r="M62" s="126"/>
      <c r="N62" s="126"/>
      <c r="O62" s="126"/>
    </row>
    <row r="63" ht="15.75" customHeight="1">
      <c r="A63" s="123">
        <v>2016.0</v>
      </c>
      <c r="B63" s="124" t="s">
        <v>125</v>
      </c>
      <c r="C63" s="124" t="s">
        <v>47</v>
      </c>
      <c r="D63" s="124" t="s">
        <v>26</v>
      </c>
      <c r="E63" s="124" t="s">
        <v>126</v>
      </c>
      <c r="F63" s="124" t="s">
        <v>112</v>
      </c>
      <c r="G63" s="127" t="s">
        <v>128</v>
      </c>
      <c r="H63" s="125">
        <v>743.0</v>
      </c>
      <c r="I63" s="124" t="s">
        <v>20</v>
      </c>
      <c r="J63" s="126"/>
      <c r="K63" s="126"/>
      <c r="L63" s="126"/>
      <c r="M63" s="126"/>
      <c r="N63" s="126"/>
      <c r="O63" s="126"/>
    </row>
    <row r="64" ht="15.75" customHeight="1">
      <c r="A64" s="123">
        <v>2016.0</v>
      </c>
      <c r="B64" s="124" t="s">
        <v>125</v>
      </c>
      <c r="C64" s="124" t="s">
        <v>47</v>
      </c>
      <c r="D64" s="124" t="s">
        <v>26</v>
      </c>
      <c r="E64" s="124" t="s">
        <v>126</v>
      </c>
      <c r="F64" s="124" t="s">
        <v>135</v>
      </c>
      <c r="G64" s="127" t="s">
        <v>136</v>
      </c>
      <c r="H64" s="125">
        <v>3324.0</v>
      </c>
      <c r="I64" s="124" t="s">
        <v>20</v>
      </c>
      <c r="J64" s="126"/>
      <c r="K64" s="126"/>
      <c r="L64" s="126"/>
      <c r="M64" s="126"/>
      <c r="N64" s="126"/>
      <c r="O64" s="126"/>
    </row>
    <row r="65" ht="15.75" customHeight="1">
      <c r="A65" s="123">
        <v>2016.0</v>
      </c>
      <c r="B65" s="124" t="s">
        <v>125</v>
      </c>
      <c r="C65" s="124" t="s">
        <v>47</v>
      </c>
      <c r="D65" s="124" t="s">
        <v>26</v>
      </c>
      <c r="E65" s="124" t="s">
        <v>126</v>
      </c>
      <c r="F65" s="124" t="s">
        <v>134</v>
      </c>
      <c r="G65" s="127" t="s">
        <v>134</v>
      </c>
      <c r="H65" s="125">
        <v>5001.0</v>
      </c>
      <c r="I65" s="124" t="s">
        <v>20</v>
      </c>
      <c r="J65" s="126"/>
      <c r="K65" s="126"/>
      <c r="L65" s="126"/>
      <c r="M65" s="126"/>
      <c r="N65" s="126"/>
      <c r="O65" s="126"/>
    </row>
    <row r="66" ht="15.75" customHeight="1">
      <c r="A66" s="123">
        <v>2016.0</v>
      </c>
      <c r="B66" s="124" t="s">
        <v>125</v>
      </c>
      <c r="C66" s="124" t="s">
        <v>47</v>
      </c>
      <c r="D66" s="124" t="s">
        <v>26</v>
      </c>
      <c r="E66" s="124" t="s">
        <v>126</v>
      </c>
      <c r="F66" s="124" t="s">
        <v>137</v>
      </c>
      <c r="G66" s="127" t="s">
        <v>136</v>
      </c>
      <c r="H66" s="125">
        <v>1265.0</v>
      </c>
      <c r="I66" s="124" t="s">
        <v>20</v>
      </c>
      <c r="J66" s="126"/>
      <c r="K66" s="126"/>
      <c r="L66" s="126"/>
      <c r="M66" s="126"/>
      <c r="N66" s="126"/>
      <c r="O66" s="126"/>
    </row>
    <row r="67" ht="15.75" customHeight="1">
      <c r="A67" s="130">
        <v>2016.0</v>
      </c>
      <c r="B67" s="130" t="s">
        <v>125</v>
      </c>
      <c r="C67" s="130" t="s">
        <v>47</v>
      </c>
      <c r="D67" s="130" t="s">
        <v>26</v>
      </c>
      <c r="E67" s="130" t="s">
        <v>126</v>
      </c>
      <c r="F67" s="130" t="s">
        <v>127</v>
      </c>
      <c r="G67" s="131" t="s">
        <v>128</v>
      </c>
      <c r="H67" s="132">
        <v>14488.0</v>
      </c>
      <c r="I67" s="130" t="s">
        <v>20</v>
      </c>
      <c r="J67" s="126"/>
      <c r="K67" s="126"/>
      <c r="L67" s="126"/>
      <c r="M67" s="126"/>
      <c r="N67" s="126"/>
      <c r="O67" s="126"/>
    </row>
    <row r="68" ht="15.75" customHeight="1">
      <c r="A68" s="123">
        <v>2016.0</v>
      </c>
      <c r="B68" s="124" t="s">
        <v>129</v>
      </c>
      <c r="C68" s="124" t="s">
        <v>48</v>
      </c>
      <c r="D68" s="124" t="s">
        <v>26</v>
      </c>
      <c r="E68" s="124" t="s">
        <v>126</v>
      </c>
      <c r="F68" s="124" t="s">
        <v>112</v>
      </c>
      <c r="G68" s="127" t="s">
        <v>128</v>
      </c>
      <c r="H68" s="125">
        <v>677.0</v>
      </c>
      <c r="I68" s="124" t="s">
        <v>20</v>
      </c>
      <c r="J68" s="126"/>
      <c r="K68" s="126"/>
      <c r="L68" s="126"/>
      <c r="M68" s="126"/>
      <c r="N68" s="126"/>
      <c r="O68" s="126"/>
    </row>
    <row r="69" ht="15.75" customHeight="1">
      <c r="A69" s="123">
        <v>2016.0</v>
      </c>
      <c r="B69" s="124" t="s">
        <v>129</v>
      </c>
      <c r="C69" s="124" t="s">
        <v>48</v>
      </c>
      <c r="D69" s="124" t="s">
        <v>26</v>
      </c>
      <c r="E69" s="124" t="s">
        <v>126</v>
      </c>
      <c r="F69" s="124" t="s">
        <v>135</v>
      </c>
      <c r="G69" s="127" t="s">
        <v>136</v>
      </c>
      <c r="H69" s="125">
        <v>2910.0</v>
      </c>
      <c r="I69" s="124" t="s">
        <v>20</v>
      </c>
      <c r="J69" s="126"/>
      <c r="K69" s="126"/>
      <c r="L69" s="126"/>
      <c r="M69" s="126"/>
      <c r="N69" s="126"/>
      <c r="O69" s="126"/>
    </row>
    <row r="70" ht="15.75" customHeight="1">
      <c r="A70" s="123">
        <v>2016.0</v>
      </c>
      <c r="B70" s="124" t="s">
        <v>129</v>
      </c>
      <c r="C70" s="124" t="s">
        <v>48</v>
      </c>
      <c r="D70" s="124" t="s">
        <v>26</v>
      </c>
      <c r="E70" s="124" t="s">
        <v>126</v>
      </c>
      <c r="F70" s="124" t="s">
        <v>134</v>
      </c>
      <c r="G70" s="127" t="s">
        <v>134</v>
      </c>
      <c r="H70" s="125">
        <v>4400.0</v>
      </c>
      <c r="I70" s="124" t="s">
        <v>20</v>
      </c>
      <c r="J70" s="126"/>
      <c r="K70" s="126"/>
      <c r="L70" s="126"/>
      <c r="M70" s="126"/>
      <c r="N70" s="126"/>
      <c r="O70" s="126"/>
    </row>
    <row r="71" ht="15.75" customHeight="1">
      <c r="A71" s="123">
        <v>2016.0</v>
      </c>
      <c r="B71" s="124" t="s">
        <v>129</v>
      </c>
      <c r="C71" s="124" t="s">
        <v>48</v>
      </c>
      <c r="D71" s="124" t="s">
        <v>26</v>
      </c>
      <c r="E71" s="124" t="s">
        <v>126</v>
      </c>
      <c r="F71" s="124" t="s">
        <v>137</v>
      </c>
      <c r="G71" s="127" t="s">
        <v>136</v>
      </c>
      <c r="H71" s="125">
        <v>681.0</v>
      </c>
      <c r="I71" s="124" t="s">
        <v>20</v>
      </c>
      <c r="J71" s="126"/>
      <c r="K71" s="126"/>
      <c r="L71" s="126"/>
      <c r="M71" s="126"/>
      <c r="N71" s="126"/>
      <c r="O71" s="126"/>
    </row>
    <row r="72" ht="15.75" customHeight="1">
      <c r="A72" s="130">
        <v>2016.0</v>
      </c>
      <c r="B72" s="130" t="s">
        <v>129</v>
      </c>
      <c r="C72" s="130" t="s">
        <v>48</v>
      </c>
      <c r="D72" s="130" t="s">
        <v>26</v>
      </c>
      <c r="E72" s="130" t="s">
        <v>126</v>
      </c>
      <c r="F72" s="130" t="s">
        <v>127</v>
      </c>
      <c r="G72" s="131" t="s">
        <v>128</v>
      </c>
      <c r="H72" s="132">
        <v>13584.0</v>
      </c>
      <c r="I72" s="130" t="s">
        <v>20</v>
      </c>
      <c r="J72" s="126"/>
      <c r="K72" s="126"/>
      <c r="L72" s="126"/>
      <c r="M72" s="126"/>
      <c r="N72" s="126"/>
      <c r="O72" s="126"/>
    </row>
    <row r="73" ht="15.75" customHeight="1">
      <c r="A73" s="123">
        <v>2017.0</v>
      </c>
      <c r="B73" s="124" t="s">
        <v>132</v>
      </c>
      <c r="C73" s="124" t="s">
        <v>49</v>
      </c>
      <c r="D73" s="124" t="s">
        <v>26</v>
      </c>
      <c r="E73" s="124" t="s">
        <v>126</v>
      </c>
      <c r="F73" s="124" t="s">
        <v>112</v>
      </c>
      <c r="G73" s="127" t="s">
        <v>128</v>
      </c>
      <c r="H73" s="125">
        <v>558.0</v>
      </c>
      <c r="I73" s="124" t="s">
        <v>20</v>
      </c>
      <c r="J73" s="126"/>
      <c r="K73" s="126"/>
      <c r="L73" s="126"/>
      <c r="M73" s="126"/>
      <c r="N73" s="126"/>
      <c r="O73" s="126"/>
    </row>
    <row r="74" ht="15.75" customHeight="1">
      <c r="A74" s="123">
        <v>2017.0</v>
      </c>
      <c r="B74" s="124" t="s">
        <v>132</v>
      </c>
      <c r="C74" s="124" t="s">
        <v>49</v>
      </c>
      <c r="D74" s="124" t="s">
        <v>26</v>
      </c>
      <c r="E74" s="124" t="s">
        <v>126</v>
      </c>
      <c r="F74" s="124" t="s">
        <v>135</v>
      </c>
      <c r="G74" s="127" t="s">
        <v>136</v>
      </c>
      <c r="H74" s="125">
        <v>2285.0</v>
      </c>
      <c r="I74" s="124" t="s">
        <v>20</v>
      </c>
      <c r="J74" s="126"/>
      <c r="K74" s="126"/>
      <c r="L74" s="126"/>
      <c r="M74" s="126"/>
      <c r="N74" s="126"/>
      <c r="O74" s="126"/>
    </row>
    <row r="75" ht="15.75" customHeight="1">
      <c r="A75" s="123">
        <v>2017.0</v>
      </c>
      <c r="B75" s="124" t="s">
        <v>132</v>
      </c>
      <c r="C75" s="124" t="s">
        <v>49</v>
      </c>
      <c r="D75" s="124" t="s">
        <v>26</v>
      </c>
      <c r="E75" s="124" t="s">
        <v>126</v>
      </c>
      <c r="F75" s="124" t="s">
        <v>134</v>
      </c>
      <c r="G75" s="127" t="s">
        <v>134</v>
      </c>
      <c r="H75" s="125">
        <v>6689.0</v>
      </c>
      <c r="I75" s="124" t="s">
        <v>20</v>
      </c>
      <c r="J75" s="126"/>
      <c r="K75" s="126"/>
      <c r="L75" s="126"/>
      <c r="M75" s="126"/>
      <c r="N75" s="126"/>
      <c r="O75" s="126"/>
    </row>
    <row r="76" ht="15.75" customHeight="1">
      <c r="A76" s="123">
        <v>2017.0</v>
      </c>
      <c r="B76" s="124" t="s">
        <v>132</v>
      </c>
      <c r="C76" s="124" t="s">
        <v>49</v>
      </c>
      <c r="D76" s="124" t="s">
        <v>26</v>
      </c>
      <c r="E76" s="124" t="s">
        <v>126</v>
      </c>
      <c r="F76" s="124" t="s">
        <v>137</v>
      </c>
      <c r="G76" s="127" t="s">
        <v>136</v>
      </c>
      <c r="H76" s="125">
        <v>4408.0</v>
      </c>
      <c r="I76" s="124" t="s">
        <v>20</v>
      </c>
      <c r="J76" s="126"/>
      <c r="K76" s="126"/>
      <c r="L76" s="126"/>
      <c r="M76" s="126"/>
      <c r="N76" s="126"/>
      <c r="O76" s="126"/>
    </row>
    <row r="77" ht="15.75" customHeight="1">
      <c r="A77" s="130">
        <v>2017.0</v>
      </c>
      <c r="B77" s="130" t="s">
        <v>132</v>
      </c>
      <c r="C77" s="130" t="s">
        <v>49</v>
      </c>
      <c r="D77" s="130" t="s">
        <v>26</v>
      </c>
      <c r="E77" s="130" t="s">
        <v>126</v>
      </c>
      <c r="F77" s="130" t="s">
        <v>127</v>
      </c>
      <c r="G77" s="131" t="s">
        <v>128</v>
      </c>
      <c r="H77" s="132">
        <v>11111.0</v>
      </c>
      <c r="I77" s="130" t="s">
        <v>20</v>
      </c>
      <c r="J77" s="126"/>
      <c r="K77" s="126"/>
      <c r="L77" s="126"/>
      <c r="M77" s="126"/>
      <c r="N77" s="126"/>
      <c r="O77" s="126"/>
    </row>
    <row r="78" ht="15.75" customHeight="1">
      <c r="A78" s="123">
        <v>2017.0</v>
      </c>
      <c r="B78" s="124" t="s">
        <v>133</v>
      </c>
      <c r="C78" s="124" t="s">
        <v>50</v>
      </c>
      <c r="D78" s="124" t="s">
        <v>26</v>
      </c>
      <c r="E78" s="124" t="s">
        <v>126</v>
      </c>
      <c r="F78" s="124" t="s">
        <v>112</v>
      </c>
      <c r="G78" s="127" t="s">
        <v>128</v>
      </c>
      <c r="H78" s="125">
        <v>549.0</v>
      </c>
      <c r="I78" s="124" t="s">
        <v>20</v>
      </c>
      <c r="J78" s="126"/>
      <c r="K78" s="126"/>
      <c r="L78" s="126"/>
      <c r="M78" s="126"/>
      <c r="N78" s="126"/>
      <c r="O78" s="126"/>
    </row>
    <row r="79" ht="15.75" customHeight="1">
      <c r="A79" s="123">
        <v>2017.0</v>
      </c>
      <c r="B79" s="124" t="s">
        <v>133</v>
      </c>
      <c r="C79" s="124" t="s">
        <v>50</v>
      </c>
      <c r="D79" s="124" t="s">
        <v>26</v>
      </c>
      <c r="E79" s="124" t="s">
        <v>126</v>
      </c>
      <c r="F79" s="124" t="s">
        <v>135</v>
      </c>
      <c r="G79" s="127" t="s">
        <v>136</v>
      </c>
      <c r="H79" s="125">
        <v>4026.0</v>
      </c>
      <c r="I79" s="124" t="s">
        <v>20</v>
      </c>
      <c r="J79" s="126"/>
      <c r="K79" s="126"/>
      <c r="L79" s="126"/>
      <c r="M79" s="126"/>
      <c r="N79" s="126"/>
      <c r="O79" s="126"/>
    </row>
    <row r="80" ht="15.75" customHeight="1">
      <c r="A80" s="123">
        <v>2017.0</v>
      </c>
      <c r="B80" s="124" t="s">
        <v>133</v>
      </c>
      <c r="C80" s="124" t="s">
        <v>50</v>
      </c>
      <c r="D80" s="124" t="s">
        <v>26</v>
      </c>
      <c r="E80" s="124" t="s">
        <v>126</v>
      </c>
      <c r="F80" s="124" t="s">
        <v>134</v>
      </c>
      <c r="G80" s="127" t="s">
        <v>134</v>
      </c>
      <c r="H80" s="125">
        <v>5541.0</v>
      </c>
      <c r="I80" s="124" t="s">
        <v>20</v>
      </c>
      <c r="J80" s="126"/>
      <c r="K80" s="126"/>
      <c r="L80" s="126"/>
      <c r="M80" s="126"/>
      <c r="N80" s="126"/>
      <c r="O80" s="126"/>
    </row>
    <row r="81" ht="15.75" customHeight="1">
      <c r="A81" s="123">
        <v>2017.0</v>
      </c>
      <c r="B81" s="124" t="s">
        <v>133</v>
      </c>
      <c r="C81" s="124" t="s">
        <v>50</v>
      </c>
      <c r="D81" s="124" t="s">
        <v>26</v>
      </c>
      <c r="E81" s="124" t="s">
        <v>126</v>
      </c>
      <c r="F81" s="124" t="s">
        <v>137</v>
      </c>
      <c r="G81" s="127" t="s">
        <v>136</v>
      </c>
      <c r="H81" s="125">
        <v>806.0</v>
      </c>
      <c r="I81" s="124" t="s">
        <v>20</v>
      </c>
      <c r="J81" s="126"/>
      <c r="K81" s="126"/>
      <c r="L81" s="126"/>
      <c r="M81" s="126"/>
      <c r="N81" s="126"/>
      <c r="O81" s="126"/>
    </row>
    <row r="82" ht="15.75" customHeight="1">
      <c r="A82" s="130">
        <v>2017.0</v>
      </c>
      <c r="B82" s="130" t="s">
        <v>133</v>
      </c>
      <c r="C82" s="130" t="s">
        <v>50</v>
      </c>
      <c r="D82" s="130" t="s">
        <v>26</v>
      </c>
      <c r="E82" s="130" t="s">
        <v>126</v>
      </c>
      <c r="F82" s="130" t="s">
        <v>127</v>
      </c>
      <c r="G82" s="131" t="s">
        <v>128</v>
      </c>
      <c r="H82" s="132">
        <v>11104.0</v>
      </c>
      <c r="I82" s="130" t="s">
        <v>20</v>
      </c>
      <c r="J82" s="126"/>
      <c r="K82" s="126"/>
      <c r="L82" s="126"/>
      <c r="M82" s="126"/>
      <c r="N82" s="126"/>
      <c r="O82" s="126"/>
    </row>
    <row r="83" ht="15.75" customHeight="1">
      <c r="A83" s="123">
        <v>2017.0</v>
      </c>
      <c r="B83" s="124" t="s">
        <v>125</v>
      </c>
      <c r="C83" s="124" t="s">
        <v>51</v>
      </c>
      <c r="D83" s="124" t="s">
        <v>26</v>
      </c>
      <c r="E83" s="124" t="s">
        <v>126</v>
      </c>
      <c r="F83" s="124" t="s">
        <v>112</v>
      </c>
      <c r="G83" s="124" t="s">
        <v>128</v>
      </c>
      <c r="H83" s="125">
        <v>559.0</v>
      </c>
      <c r="I83" s="124" t="s">
        <v>20</v>
      </c>
      <c r="J83" s="126"/>
      <c r="K83" s="126"/>
      <c r="L83" s="126"/>
      <c r="M83" s="126"/>
      <c r="N83" s="126"/>
      <c r="O83" s="126"/>
    </row>
    <row r="84" ht="15.75" customHeight="1">
      <c r="A84" s="123">
        <v>2017.0</v>
      </c>
      <c r="B84" s="124" t="s">
        <v>125</v>
      </c>
      <c r="C84" s="124" t="s">
        <v>51</v>
      </c>
      <c r="D84" s="124" t="s">
        <v>26</v>
      </c>
      <c r="E84" s="124" t="s">
        <v>126</v>
      </c>
      <c r="F84" s="124" t="s">
        <v>135</v>
      </c>
      <c r="G84" s="124" t="s">
        <v>136</v>
      </c>
      <c r="H84" s="125">
        <v>4992.0</v>
      </c>
      <c r="I84" s="124" t="s">
        <v>20</v>
      </c>
      <c r="J84" s="126"/>
      <c r="K84" s="126"/>
      <c r="L84" s="126"/>
      <c r="M84" s="126"/>
      <c r="N84" s="126"/>
      <c r="O84" s="126"/>
    </row>
    <row r="85" ht="15.75" customHeight="1">
      <c r="A85" s="123">
        <v>2017.0</v>
      </c>
      <c r="B85" s="124" t="s">
        <v>125</v>
      </c>
      <c r="C85" s="124" t="s">
        <v>51</v>
      </c>
      <c r="D85" s="124" t="s">
        <v>26</v>
      </c>
      <c r="E85" s="124" t="s">
        <v>126</v>
      </c>
      <c r="F85" s="124" t="s">
        <v>134</v>
      </c>
      <c r="G85" s="127" t="s">
        <v>134</v>
      </c>
      <c r="H85" s="125">
        <v>7105.0</v>
      </c>
      <c r="I85" s="124" t="s">
        <v>20</v>
      </c>
      <c r="J85" s="126"/>
      <c r="K85" s="126"/>
      <c r="L85" s="126"/>
      <c r="M85" s="126"/>
      <c r="N85" s="126"/>
      <c r="O85" s="126"/>
    </row>
    <row r="86" ht="15.75" customHeight="1">
      <c r="A86" s="123">
        <v>2017.0</v>
      </c>
      <c r="B86" s="124" t="s">
        <v>125</v>
      </c>
      <c r="C86" s="124" t="s">
        <v>51</v>
      </c>
      <c r="D86" s="124" t="s">
        <v>26</v>
      </c>
      <c r="E86" s="124" t="s">
        <v>126</v>
      </c>
      <c r="F86" s="124" t="s">
        <v>137</v>
      </c>
      <c r="G86" s="127" t="s">
        <v>136</v>
      </c>
      <c r="H86" s="125">
        <v>893.0</v>
      </c>
      <c r="I86" s="124" t="s">
        <v>20</v>
      </c>
      <c r="J86" s="126"/>
      <c r="K86" s="126"/>
      <c r="L86" s="126"/>
      <c r="M86" s="126"/>
      <c r="N86" s="126"/>
      <c r="O86" s="126"/>
    </row>
    <row r="87" ht="15.75" customHeight="1">
      <c r="A87" s="130">
        <v>2017.0</v>
      </c>
      <c r="B87" s="130" t="s">
        <v>125</v>
      </c>
      <c r="C87" s="130" t="s">
        <v>51</v>
      </c>
      <c r="D87" s="130" t="s">
        <v>25</v>
      </c>
      <c r="E87" s="130" t="s">
        <v>138</v>
      </c>
      <c r="F87" s="130" t="s">
        <v>127</v>
      </c>
      <c r="G87" s="131" t="s">
        <v>128</v>
      </c>
      <c r="H87" s="132">
        <v>222.0</v>
      </c>
      <c r="I87" s="130" t="s">
        <v>20</v>
      </c>
      <c r="J87" s="126"/>
      <c r="K87" s="126"/>
      <c r="L87" s="126"/>
      <c r="M87" s="126"/>
      <c r="N87" s="126"/>
      <c r="O87" s="126"/>
    </row>
    <row r="88" ht="15.75" customHeight="1">
      <c r="A88" s="130">
        <v>2017.0</v>
      </c>
      <c r="B88" s="130" t="s">
        <v>125</v>
      </c>
      <c r="C88" s="130" t="s">
        <v>51</v>
      </c>
      <c r="D88" s="130" t="s">
        <v>26</v>
      </c>
      <c r="E88" s="130" t="s">
        <v>126</v>
      </c>
      <c r="F88" s="130" t="s">
        <v>127</v>
      </c>
      <c r="G88" s="131" t="s">
        <v>128</v>
      </c>
      <c r="H88" s="132">
        <v>12366.0</v>
      </c>
      <c r="I88" s="130" t="s">
        <v>20</v>
      </c>
      <c r="J88" s="126"/>
      <c r="K88" s="126"/>
      <c r="L88" s="126"/>
      <c r="M88" s="126"/>
      <c r="N88" s="126"/>
      <c r="O88" s="126"/>
    </row>
    <row r="89" ht="15.75" customHeight="1">
      <c r="A89" s="123">
        <v>2017.0</v>
      </c>
      <c r="B89" s="124" t="s">
        <v>129</v>
      </c>
      <c r="C89" s="124" t="s">
        <v>52</v>
      </c>
      <c r="D89" s="124" t="s">
        <v>26</v>
      </c>
      <c r="E89" s="124" t="s">
        <v>126</v>
      </c>
      <c r="F89" s="124" t="s">
        <v>112</v>
      </c>
      <c r="G89" s="127" t="s">
        <v>128</v>
      </c>
      <c r="H89" s="125">
        <v>695.0</v>
      </c>
      <c r="I89" s="124" t="s">
        <v>20</v>
      </c>
      <c r="J89" s="126"/>
      <c r="K89" s="126"/>
      <c r="L89" s="126"/>
      <c r="M89" s="126"/>
      <c r="N89" s="126"/>
      <c r="O89" s="126"/>
    </row>
    <row r="90" ht="15.75" customHeight="1">
      <c r="A90" s="123">
        <v>2017.0</v>
      </c>
      <c r="B90" s="124" t="s">
        <v>129</v>
      </c>
      <c r="C90" s="124" t="s">
        <v>52</v>
      </c>
      <c r="D90" s="124" t="s">
        <v>26</v>
      </c>
      <c r="E90" s="124" t="s">
        <v>126</v>
      </c>
      <c r="F90" s="124" t="s">
        <v>135</v>
      </c>
      <c r="G90" s="127" t="s">
        <v>136</v>
      </c>
      <c r="H90" s="125">
        <v>3526.0</v>
      </c>
      <c r="I90" s="124" t="s">
        <v>20</v>
      </c>
      <c r="J90" s="126"/>
      <c r="K90" s="126"/>
      <c r="L90" s="126"/>
      <c r="M90" s="126"/>
      <c r="N90" s="126"/>
      <c r="O90" s="126"/>
    </row>
    <row r="91" ht="15.75" customHeight="1">
      <c r="A91" s="123">
        <v>2017.0</v>
      </c>
      <c r="B91" s="124" t="s">
        <v>129</v>
      </c>
      <c r="C91" s="124" t="s">
        <v>52</v>
      </c>
      <c r="D91" s="124" t="s">
        <v>26</v>
      </c>
      <c r="E91" s="124" t="s">
        <v>126</v>
      </c>
      <c r="F91" s="124" t="s">
        <v>134</v>
      </c>
      <c r="G91" s="127" t="s">
        <v>134</v>
      </c>
      <c r="H91" s="125">
        <v>8944.0</v>
      </c>
      <c r="I91" s="124" t="s">
        <v>20</v>
      </c>
      <c r="J91" s="126"/>
      <c r="K91" s="126"/>
      <c r="L91" s="126"/>
      <c r="M91" s="126"/>
      <c r="N91" s="126"/>
      <c r="O91" s="126"/>
    </row>
    <row r="92" ht="15.75" customHeight="1">
      <c r="A92" s="123">
        <v>2017.0</v>
      </c>
      <c r="B92" s="124" t="s">
        <v>129</v>
      </c>
      <c r="C92" s="124" t="s">
        <v>52</v>
      </c>
      <c r="D92" s="124" t="s">
        <v>26</v>
      </c>
      <c r="E92" s="124" t="s">
        <v>126</v>
      </c>
      <c r="F92" s="124" t="s">
        <v>137</v>
      </c>
      <c r="G92" s="127" t="s">
        <v>136</v>
      </c>
      <c r="H92" s="125">
        <v>1216.0</v>
      </c>
      <c r="I92" s="124" t="s">
        <v>20</v>
      </c>
      <c r="J92" s="126"/>
      <c r="K92" s="126"/>
      <c r="L92" s="126"/>
      <c r="M92" s="126"/>
      <c r="N92" s="126"/>
      <c r="O92" s="126"/>
    </row>
    <row r="93" ht="15.75" customHeight="1">
      <c r="A93" s="130">
        <v>2017.0</v>
      </c>
      <c r="B93" s="130" t="s">
        <v>129</v>
      </c>
      <c r="C93" s="130" t="s">
        <v>52</v>
      </c>
      <c r="D93" s="130" t="s">
        <v>25</v>
      </c>
      <c r="E93" s="130" t="s">
        <v>138</v>
      </c>
      <c r="F93" s="130" t="s">
        <v>127</v>
      </c>
      <c r="G93" s="131" t="s">
        <v>128</v>
      </c>
      <c r="H93" s="132">
        <v>1542.0</v>
      </c>
      <c r="I93" s="130" t="s">
        <v>20</v>
      </c>
      <c r="J93" s="126"/>
      <c r="K93" s="126"/>
      <c r="L93" s="126"/>
      <c r="M93" s="126"/>
      <c r="N93" s="126"/>
      <c r="O93" s="126"/>
    </row>
    <row r="94" ht="15.75" customHeight="1">
      <c r="A94" s="130">
        <v>2017.0</v>
      </c>
      <c r="B94" s="130" t="s">
        <v>129</v>
      </c>
      <c r="C94" s="130" t="s">
        <v>52</v>
      </c>
      <c r="D94" s="130" t="s">
        <v>26</v>
      </c>
      <c r="E94" s="130" t="s">
        <v>126</v>
      </c>
      <c r="F94" s="130" t="s">
        <v>127</v>
      </c>
      <c r="G94" s="131" t="s">
        <v>128</v>
      </c>
      <c r="H94" s="132">
        <v>14044.0</v>
      </c>
      <c r="I94" s="130" t="s">
        <v>20</v>
      </c>
      <c r="J94" s="126"/>
      <c r="K94" s="126"/>
      <c r="L94" s="126"/>
      <c r="M94" s="126"/>
      <c r="N94" s="126"/>
      <c r="O94" s="126"/>
    </row>
    <row r="95" ht="15.75" customHeight="1">
      <c r="A95" s="123">
        <v>2018.0</v>
      </c>
      <c r="B95" s="124" t="s">
        <v>132</v>
      </c>
      <c r="C95" s="124" t="s">
        <v>53</v>
      </c>
      <c r="D95" s="124" t="s">
        <v>26</v>
      </c>
      <c r="E95" s="124" t="s">
        <v>126</v>
      </c>
      <c r="F95" s="124" t="s">
        <v>112</v>
      </c>
      <c r="G95" s="127" t="s">
        <v>128</v>
      </c>
      <c r="H95" s="125">
        <v>506.0</v>
      </c>
      <c r="I95" s="124" t="s">
        <v>20</v>
      </c>
      <c r="J95" s="126"/>
      <c r="K95" s="126"/>
      <c r="L95" s="126"/>
      <c r="M95" s="126"/>
      <c r="N95" s="126"/>
      <c r="O95" s="126"/>
    </row>
    <row r="96" ht="15.75" customHeight="1">
      <c r="A96" s="123">
        <v>2018.0</v>
      </c>
      <c r="B96" s="124" t="s">
        <v>132</v>
      </c>
      <c r="C96" s="124" t="s">
        <v>53</v>
      </c>
      <c r="D96" s="124" t="s">
        <v>26</v>
      </c>
      <c r="E96" s="124" t="s">
        <v>126</v>
      </c>
      <c r="F96" s="124" t="s">
        <v>135</v>
      </c>
      <c r="G96" s="127" t="s">
        <v>136</v>
      </c>
      <c r="H96" s="125">
        <v>4187.0</v>
      </c>
      <c r="I96" s="124" t="s">
        <v>20</v>
      </c>
      <c r="J96" s="126"/>
      <c r="K96" s="126"/>
      <c r="L96" s="126"/>
      <c r="M96" s="126"/>
      <c r="N96" s="126"/>
      <c r="O96" s="126"/>
    </row>
    <row r="97" ht="15.75" customHeight="1">
      <c r="A97" s="123">
        <v>2018.0</v>
      </c>
      <c r="B97" s="124" t="s">
        <v>132</v>
      </c>
      <c r="C97" s="124" t="s">
        <v>53</v>
      </c>
      <c r="D97" s="124" t="s">
        <v>26</v>
      </c>
      <c r="E97" s="124" t="s">
        <v>126</v>
      </c>
      <c r="F97" s="124" t="s">
        <v>134</v>
      </c>
      <c r="G97" s="127" t="s">
        <v>134</v>
      </c>
      <c r="H97" s="125">
        <v>6124.0</v>
      </c>
      <c r="I97" s="124" t="s">
        <v>20</v>
      </c>
      <c r="J97" s="126"/>
      <c r="K97" s="126"/>
      <c r="L97" s="126"/>
      <c r="M97" s="126"/>
      <c r="N97" s="126"/>
      <c r="O97" s="126"/>
    </row>
    <row r="98" ht="15.75" customHeight="1">
      <c r="A98" s="123">
        <v>2018.0</v>
      </c>
      <c r="B98" s="124" t="s">
        <v>132</v>
      </c>
      <c r="C98" s="124" t="s">
        <v>53</v>
      </c>
      <c r="D98" s="124" t="s">
        <v>26</v>
      </c>
      <c r="E98" s="124" t="s">
        <v>126</v>
      </c>
      <c r="F98" s="124" t="s">
        <v>137</v>
      </c>
      <c r="G98" s="127" t="s">
        <v>136</v>
      </c>
      <c r="H98" s="125">
        <v>792.0</v>
      </c>
      <c r="I98" s="124" t="s">
        <v>20</v>
      </c>
      <c r="J98" s="126"/>
      <c r="K98" s="126"/>
      <c r="L98" s="126"/>
      <c r="M98" s="126"/>
      <c r="N98" s="126"/>
      <c r="O98" s="126"/>
    </row>
    <row r="99" ht="15.75" customHeight="1">
      <c r="A99" s="130">
        <v>2018.0</v>
      </c>
      <c r="B99" s="130" t="s">
        <v>132</v>
      </c>
      <c r="C99" s="130" t="s">
        <v>53</v>
      </c>
      <c r="D99" s="130" t="s">
        <v>25</v>
      </c>
      <c r="E99" s="130" t="s">
        <v>138</v>
      </c>
      <c r="F99" s="130" t="s">
        <v>127</v>
      </c>
      <c r="G99" s="127" t="s">
        <v>128</v>
      </c>
      <c r="H99" s="132">
        <v>8182.0</v>
      </c>
      <c r="I99" s="130" t="s">
        <v>20</v>
      </c>
      <c r="J99" s="126"/>
      <c r="K99" s="126"/>
      <c r="L99" s="126"/>
      <c r="M99" s="126"/>
      <c r="N99" s="126"/>
      <c r="O99" s="126"/>
    </row>
    <row r="100" ht="15.75" customHeight="1">
      <c r="A100" s="130">
        <v>2018.0</v>
      </c>
      <c r="B100" s="130" t="s">
        <v>132</v>
      </c>
      <c r="C100" s="130" t="s">
        <v>53</v>
      </c>
      <c r="D100" s="130" t="s">
        <v>26</v>
      </c>
      <c r="E100" s="130" t="s">
        <v>126</v>
      </c>
      <c r="F100" s="130" t="s">
        <v>127</v>
      </c>
      <c r="G100" s="127" t="s">
        <v>128</v>
      </c>
      <c r="H100" s="132">
        <v>10206.0</v>
      </c>
      <c r="I100" s="130" t="s">
        <v>20</v>
      </c>
      <c r="J100" s="126"/>
      <c r="K100" s="126"/>
      <c r="L100" s="126"/>
      <c r="M100" s="126"/>
      <c r="N100" s="126"/>
      <c r="O100" s="126"/>
    </row>
    <row r="101" ht="15.75" customHeight="1">
      <c r="A101" s="123">
        <v>2018.0</v>
      </c>
      <c r="B101" s="124" t="s">
        <v>133</v>
      </c>
      <c r="C101" s="124" t="s">
        <v>54</v>
      </c>
      <c r="D101" s="124" t="s">
        <v>25</v>
      </c>
      <c r="E101" s="124" t="s">
        <v>138</v>
      </c>
      <c r="F101" s="124" t="s">
        <v>112</v>
      </c>
      <c r="G101" s="127" t="s">
        <v>128</v>
      </c>
      <c r="H101" s="125">
        <v>1331.0</v>
      </c>
      <c r="I101" s="124" t="s">
        <v>20</v>
      </c>
      <c r="J101" s="126"/>
      <c r="K101" s="126"/>
      <c r="L101" s="126"/>
      <c r="M101" s="126"/>
      <c r="N101" s="126"/>
      <c r="O101" s="126"/>
    </row>
    <row r="102" ht="15.75" customHeight="1">
      <c r="A102" s="123">
        <v>2018.0</v>
      </c>
      <c r="B102" s="124" t="s">
        <v>133</v>
      </c>
      <c r="C102" s="124" t="s">
        <v>54</v>
      </c>
      <c r="D102" s="124" t="s">
        <v>26</v>
      </c>
      <c r="E102" s="124" t="s">
        <v>126</v>
      </c>
      <c r="F102" s="124" t="s">
        <v>112</v>
      </c>
      <c r="G102" s="127" t="s">
        <v>128</v>
      </c>
      <c r="H102" s="125">
        <v>417.0</v>
      </c>
      <c r="I102" s="124" t="s">
        <v>20</v>
      </c>
      <c r="J102" s="126"/>
      <c r="K102" s="126"/>
      <c r="L102" s="126"/>
      <c r="M102" s="126"/>
      <c r="N102" s="126"/>
      <c r="O102" s="126"/>
    </row>
    <row r="103" ht="15.75" customHeight="1">
      <c r="A103" s="123">
        <v>2018.0</v>
      </c>
      <c r="B103" s="124" t="s">
        <v>133</v>
      </c>
      <c r="C103" s="124" t="s">
        <v>54</v>
      </c>
      <c r="D103" s="124" t="s">
        <v>26</v>
      </c>
      <c r="E103" s="124" t="s">
        <v>126</v>
      </c>
      <c r="F103" s="124" t="s">
        <v>135</v>
      </c>
      <c r="G103" s="127" t="s">
        <v>136</v>
      </c>
      <c r="H103" s="125">
        <v>5287.0</v>
      </c>
      <c r="I103" s="124" t="s">
        <v>20</v>
      </c>
      <c r="J103" s="126"/>
      <c r="K103" s="126"/>
      <c r="L103" s="126"/>
      <c r="M103" s="126"/>
      <c r="N103" s="126"/>
      <c r="O103" s="126"/>
    </row>
    <row r="104" ht="15.75" customHeight="1">
      <c r="A104" s="123">
        <v>2018.0</v>
      </c>
      <c r="B104" s="124" t="s">
        <v>133</v>
      </c>
      <c r="C104" s="124" t="s">
        <v>54</v>
      </c>
      <c r="D104" s="124" t="s">
        <v>26</v>
      </c>
      <c r="E104" s="124" t="s">
        <v>126</v>
      </c>
      <c r="F104" s="124" t="s">
        <v>134</v>
      </c>
      <c r="G104" s="127" t="s">
        <v>134</v>
      </c>
      <c r="H104" s="125">
        <v>7197.0</v>
      </c>
      <c r="I104" s="124" t="s">
        <v>20</v>
      </c>
      <c r="J104" s="126"/>
      <c r="K104" s="126"/>
      <c r="L104" s="126"/>
      <c r="M104" s="126"/>
      <c r="N104" s="126"/>
      <c r="O104" s="126"/>
    </row>
    <row r="105" ht="15.75" customHeight="1">
      <c r="A105" s="123">
        <v>2018.0</v>
      </c>
      <c r="B105" s="124" t="s">
        <v>133</v>
      </c>
      <c r="C105" s="124" t="s">
        <v>54</v>
      </c>
      <c r="D105" s="124" t="s">
        <v>26</v>
      </c>
      <c r="E105" s="124" t="s">
        <v>126</v>
      </c>
      <c r="F105" s="124" t="s">
        <v>137</v>
      </c>
      <c r="G105" s="127" t="s">
        <v>136</v>
      </c>
      <c r="H105" s="125">
        <v>764.0</v>
      </c>
      <c r="I105" s="124" t="s">
        <v>20</v>
      </c>
      <c r="J105" s="126"/>
      <c r="K105" s="126"/>
      <c r="L105" s="126"/>
      <c r="M105" s="126"/>
      <c r="N105" s="126"/>
      <c r="O105" s="126"/>
    </row>
    <row r="106" ht="15.75" customHeight="1">
      <c r="A106" s="130">
        <v>2018.0</v>
      </c>
      <c r="B106" s="130" t="s">
        <v>133</v>
      </c>
      <c r="C106" s="130" t="s">
        <v>54</v>
      </c>
      <c r="D106" s="130" t="s">
        <v>25</v>
      </c>
      <c r="E106" s="130" t="s">
        <v>138</v>
      </c>
      <c r="F106" s="130" t="s">
        <v>127</v>
      </c>
      <c r="G106" s="127" t="s">
        <v>128</v>
      </c>
      <c r="H106" s="132">
        <v>17118.0</v>
      </c>
      <c r="I106" s="130" t="s">
        <v>20</v>
      </c>
      <c r="J106" s="126"/>
      <c r="K106" s="126"/>
      <c r="L106" s="126"/>
      <c r="M106" s="126"/>
      <c r="N106" s="126"/>
      <c r="O106" s="126"/>
    </row>
    <row r="107" ht="15.75" customHeight="1">
      <c r="A107" s="130">
        <v>2018.0</v>
      </c>
      <c r="B107" s="130" t="s">
        <v>133</v>
      </c>
      <c r="C107" s="130" t="s">
        <v>54</v>
      </c>
      <c r="D107" s="130" t="s">
        <v>26</v>
      </c>
      <c r="E107" s="130" t="s">
        <v>126</v>
      </c>
      <c r="F107" s="130" t="s">
        <v>127</v>
      </c>
      <c r="G107" s="131" t="s">
        <v>128</v>
      </c>
      <c r="H107" s="132">
        <v>8654.0</v>
      </c>
      <c r="I107" s="130" t="s">
        <v>20</v>
      </c>
      <c r="J107" s="126"/>
      <c r="K107" s="126"/>
      <c r="L107" s="126"/>
      <c r="M107" s="126"/>
      <c r="N107" s="126"/>
      <c r="O107" s="126"/>
    </row>
    <row r="108" ht="15.75" customHeight="1">
      <c r="A108" s="123">
        <v>2018.0</v>
      </c>
      <c r="B108" s="124" t="s">
        <v>125</v>
      </c>
      <c r="C108" s="124" t="s">
        <v>55</v>
      </c>
      <c r="D108" s="124" t="s">
        <v>25</v>
      </c>
      <c r="E108" s="124" t="s">
        <v>138</v>
      </c>
      <c r="F108" s="124" t="s">
        <v>112</v>
      </c>
      <c r="G108" s="127" t="s">
        <v>128</v>
      </c>
      <c r="H108" s="125">
        <v>1712.0</v>
      </c>
      <c r="I108" s="124" t="s">
        <v>20</v>
      </c>
      <c r="J108" s="126"/>
      <c r="K108" s="126"/>
      <c r="L108" s="126"/>
      <c r="M108" s="126"/>
      <c r="N108" s="126"/>
      <c r="O108" s="126"/>
    </row>
    <row r="109" ht="15.75" customHeight="1">
      <c r="A109" s="123">
        <v>2018.0</v>
      </c>
      <c r="B109" s="124" t="s">
        <v>125</v>
      </c>
      <c r="C109" s="124" t="s">
        <v>55</v>
      </c>
      <c r="D109" s="124" t="s">
        <v>26</v>
      </c>
      <c r="E109" s="124" t="s">
        <v>126</v>
      </c>
      <c r="F109" s="124" t="s">
        <v>112</v>
      </c>
      <c r="G109" s="127" t="s">
        <v>128</v>
      </c>
      <c r="H109" s="125">
        <v>738.0</v>
      </c>
      <c r="I109" s="124" t="s">
        <v>20</v>
      </c>
      <c r="J109" s="126"/>
      <c r="K109" s="126"/>
      <c r="L109" s="126"/>
      <c r="M109" s="126"/>
      <c r="N109" s="126"/>
      <c r="O109" s="126"/>
    </row>
    <row r="110" ht="15.75" customHeight="1">
      <c r="A110" s="123">
        <v>2018.0</v>
      </c>
      <c r="B110" s="124" t="s">
        <v>125</v>
      </c>
      <c r="C110" s="124" t="s">
        <v>55</v>
      </c>
      <c r="D110" s="124" t="s">
        <v>26</v>
      </c>
      <c r="E110" s="124" t="s">
        <v>126</v>
      </c>
      <c r="F110" s="124" t="s">
        <v>135</v>
      </c>
      <c r="G110" s="127" t="s">
        <v>136</v>
      </c>
      <c r="H110" s="125">
        <v>2871.0</v>
      </c>
      <c r="I110" s="124" t="s">
        <v>20</v>
      </c>
      <c r="J110" s="126"/>
      <c r="K110" s="126"/>
      <c r="L110" s="126"/>
      <c r="M110" s="126"/>
      <c r="N110" s="126"/>
      <c r="O110" s="126"/>
    </row>
    <row r="111" ht="15.75" customHeight="1">
      <c r="A111" s="123">
        <v>2018.0</v>
      </c>
      <c r="B111" s="124" t="s">
        <v>125</v>
      </c>
      <c r="C111" s="124" t="s">
        <v>55</v>
      </c>
      <c r="D111" s="124" t="s">
        <v>26</v>
      </c>
      <c r="E111" s="124" t="s">
        <v>126</v>
      </c>
      <c r="F111" s="124" t="s">
        <v>134</v>
      </c>
      <c r="G111" s="127" t="s">
        <v>134</v>
      </c>
      <c r="H111" s="125">
        <v>7777.0</v>
      </c>
      <c r="I111" s="124" t="s">
        <v>20</v>
      </c>
      <c r="J111" s="126"/>
      <c r="K111" s="126"/>
      <c r="L111" s="126"/>
      <c r="M111" s="126"/>
      <c r="N111" s="126"/>
      <c r="O111" s="126"/>
    </row>
    <row r="112" ht="15.75" customHeight="1">
      <c r="A112" s="123">
        <v>2018.0</v>
      </c>
      <c r="B112" s="124" t="s">
        <v>125</v>
      </c>
      <c r="C112" s="124" t="s">
        <v>55</v>
      </c>
      <c r="D112" s="124" t="s">
        <v>26</v>
      </c>
      <c r="E112" s="124" t="s">
        <v>126</v>
      </c>
      <c r="F112" s="124" t="s">
        <v>137</v>
      </c>
      <c r="G112" s="127" t="s">
        <v>136</v>
      </c>
      <c r="H112" s="125">
        <v>858.0</v>
      </c>
      <c r="I112" s="124" t="s">
        <v>20</v>
      </c>
      <c r="J112" s="126"/>
      <c r="K112" s="126"/>
      <c r="L112" s="126"/>
      <c r="M112" s="126"/>
      <c r="N112" s="126"/>
      <c r="O112" s="126"/>
    </row>
    <row r="113" ht="15.75" customHeight="1">
      <c r="A113" s="130">
        <v>2018.0</v>
      </c>
      <c r="B113" s="130" t="s">
        <v>125</v>
      </c>
      <c r="C113" s="130" t="s">
        <v>55</v>
      </c>
      <c r="D113" s="130" t="s">
        <v>25</v>
      </c>
      <c r="E113" s="130" t="s">
        <v>138</v>
      </c>
      <c r="F113" s="130" t="s">
        <v>127</v>
      </c>
      <c r="G113" s="131" t="s">
        <v>128</v>
      </c>
      <c r="H113" s="132">
        <v>54353.0</v>
      </c>
      <c r="I113" s="130" t="s">
        <v>20</v>
      </c>
      <c r="J113" s="126"/>
      <c r="K113" s="126"/>
      <c r="L113" s="126"/>
      <c r="M113" s="126"/>
      <c r="N113" s="126"/>
      <c r="O113" s="126"/>
    </row>
    <row r="114" ht="15.75" customHeight="1">
      <c r="A114" s="130">
        <v>2018.0</v>
      </c>
      <c r="B114" s="130" t="s">
        <v>125</v>
      </c>
      <c r="C114" s="130" t="s">
        <v>55</v>
      </c>
      <c r="D114" s="130" t="s">
        <v>26</v>
      </c>
      <c r="E114" s="130" t="s">
        <v>126</v>
      </c>
      <c r="F114" s="130" t="s">
        <v>127</v>
      </c>
      <c r="G114" s="131" t="s">
        <v>128</v>
      </c>
      <c r="H114" s="132">
        <v>15466.0</v>
      </c>
      <c r="I114" s="130" t="s">
        <v>20</v>
      </c>
      <c r="J114" s="126"/>
      <c r="K114" s="126"/>
      <c r="L114" s="126"/>
      <c r="M114" s="126"/>
      <c r="N114" s="126"/>
      <c r="O114" s="126"/>
    </row>
    <row r="115" ht="15.75" customHeight="1">
      <c r="A115" s="123">
        <v>2018.0</v>
      </c>
      <c r="B115" s="124" t="s">
        <v>129</v>
      </c>
      <c r="C115" s="124" t="s">
        <v>56</v>
      </c>
      <c r="D115" s="124" t="s">
        <v>25</v>
      </c>
      <c r="E115" s="124" t="s">
        <v>138</v>
      </c>
      <c r="F115" s="124" t="s">
        <v>112</v>
      </c>
      <c r="G115" s="127" t="s">
        <v>128</v>
      </c>
      <c r="H115" s="125">
        <v>1753.0</v>
      </c>
      <c r="I115" s="124" t="s">
        <v>20</v>
      </c>
      <c r="J115" s="126"/>
      <c r="K115" s="126"/>
      <c r="L115" s="126"/>
      <c r="M115" s="126"/>
      <c r="N115" s="126"/>
      <c r="O115" s="126"/>
    </row>
    <row r="116" ht="15.75" customHeight="1">
      <c r="A116" s="123">
        <v>2018.0</v>
      </c>
      <c r="B116" s="124" t="s">
        <v>129</v>
      </c>
      <c r="C116" s="124" t="s">
        <v>56</v>
      </c>
      <c r="D116" s="124" t="s">
        <v>26</v>
      </c>
      <c r="E116" s="124" t="s">
        <v>126</v>
      </c>
      <c r="F116" s="124" t="s">
        <v>112</v>
      </c>
      <c r="G116" s="127" t="s">
        <v>128</v>
      </c>
      <c r="H116" s="125">
        <v>743.0</v>
      </c>
      <c r="I116" s="124" t="s">
        <v>20</v>
      </c>
      <c r="J116" s="126"/>
      <c r="K116" s="126"/>
      <c r="L116" s="126"/>
      <c r="M116" s="126"/>
      <c r="N116" s="126"/>
      <c r="O116" s="126"/>
    </row>
    <row r="117" ht="15.75" customHeight="1">
      <c r="A117" s="123">
        <v>2018.0</v>
      </c>
      <c r="B117" s="124" t="s">
        <v>129</v>
      </c>
      <c r="C117" s="124" t="s">
        <v>56</v>
      </c>
      <c r="D117" s="124" t="s">
        <v>26</v>
      </c>
      <c r="E117" s="124" t="s">
        <v>126</v>
      </c>
      <c r="F117" s="124" t="s">
        <v>135</v>
      </c>
      <c r="G117" s="127" t="s">
        <v>136</v>
      </c>
      <c r="H117" s="125">
        <v>2684.0</v>
      </c>
      <c r="I117" s="124" t="s">
        <v>20</v>
      </c>
      <c r="J117" s="126"/>
      <c r="K117" s="126"/>
      <c r="L117" s="126"/>
      <c r="M117" s="126"/>
      <c r="N117" s="126"/>
      <c r="O117" s="126"/>
    </row>
    <row r="118" ht="15.75" customHeight="1">
      <c r="A118" s="123">
        <v>2018.0</v>
      </c>
      <c r="B118" s="124" t="s">
        <v>129</v>
      </c>
      <c r="C118" s="124" t="s">
        <v>56</v>
      </c>
      <c r="D118" s="124" t="s">
        <v>26</v>
      </c>
      <c r="E118" s="124" t="s">
        <v>126</v>
      </c>
      <c r="F118" s="124" t="s">
        <v>134</v>
      </c>
      <c r="G118" s="127" t="s">
        <v>134</v>
      </c>
      <c r="H118" s="125">
        <v>8159.0</v>
      </c>
      <c r="I118" s="124" t="s">
        <v>20</v>
      </c>
      <c r="J118" s="126"/>
      <c r="K118" s="126"/>
      <c r="L118" s="126"/>
      <c r="M118" s="126"/>
      <c r="N118" s="126"/>
      <c r="O118" s="126"/>
    </row>
    <row r="119" ht="15.75" customHeight="1">
      <c r="A119" s="123">
        <v>2018.0</v>
      </c>
      <c r="B119" s="124" t="s">
        <v>129</v>
      </c>
      <c r="C119" s="124" t="s">
        <v>56</v>
      </c>
      <c r="D119" s="124" t="s">
        <v>26</v>
      </c>
      <c r="E119" s="124" t="s">
        <v>126</v>
      </c>
      <c r="F119" s="124" t="s">
        <v>137</v>
      </c>
      <c r="G119" s="127" t="s">
        <v>136</v>
      </c>
      <c r="H119" s="125">
        <v>965.0</v>
      </c>
      <c r="I119" s="124" t="s">
        <v>20</v>
      </c>
      <c r="J119" s="126"/>
      <c r="K119" s="126"/>
      <c r="L119" s="126"/>
      <c r="M119" s="126"/>
      <c r="N119" s="126"/>
      <c r="O119" s="126"/>
    </row>
    <row r="120" ht="15.75" customHeight="1">
      <c r="A120" s="130">
        <v>2018.0</v>
      </c>
      <c r="B120" s="130" t="s">
        <v>129</v>
      </c>
      <c r="C120" s="130" t="s">
        <v>56</v>
      </c>
      <c r="D120" s="130" t="s">
        <v>25</v>
      </c>
      <c r="E120" s="130" t="s">
        <v>138</v>
      </c>
      <c r="F120" s="130" t="s">
        <v>127</v>
      </c>
      <c r="G120" s="130" t="s">
        <v>128</v>
      </c>
      <c r="H120" s="132">
        <v>61606.0</v>
      </c>
      <c r="I120" s="130" t="s">
        <v>20</v>
      </c>
      <c r="J120" s="126"/>
      <c r="K120" s="126"/>
      <c r="L120" s="126"/>
      <c r="M120" s="126"/>
      <c r="N120" s="126"/>
      <c r="O120" s="126"/>
    </row>
    <row r="121" ht="15.75" customHeight="1">
      <c r="A121" s="130">
        <v>2018.0</v>
      </c>
      <c r="B121" s="130" t="s">
        <v>129</v>
      </c>
      <c r="C121" s="130" t="s">
        <v>56</v>
      </c>
      <c r="D121" s="130" t="s">
        <v>26</v>
      </c>
      <c r="E121" s="130" t="s">
        <v>126</v>
      </c>
      <c r="F121" s="130" t="s">
        <v>127</v>
      </c>
      <c r="G121" s="130" t="s">
        <v>128</v>
      </c>
      <c r="H121" s="132">
        <v>15056.0</v>
      </c>
      <c r="I121" s="130" t="s">
        <v>20</v>
      </c>
      <c r="J121" s="126"/>
      <c r="K121" s="126"/>
      <c r="L121" s="126"/>
      <c r="M121" s="126"/>
      <c r="N121" s="126"/>
      <c r="O121" s="126"/>
    </row>
    <row r="122" ht="15.75" customHeight="1">
      <c r="A122" s="123">
        <v>2019.0</v>
      </c>
      <c r="B122" s="124" t="s">
        <v>132</v>
      </c>
      <c r="C122" s="124" t="s">
        <v>57</v>
      </c>
      <c r="D122" s="124" t="s">
        <v>25</v>
      </c>
      <c r="E122" s="124" t="s">
        <v>138</v>
      </c>
      <c r="F122" s="124" t="s">
        <v>112</v>
      </c>
      <c r="G122" s="124" t="s">
        <v>128</v>
      </c>
      <c r="H122" s="125">
        <v>866.0</v>
      </c>
      <c r="I122" s="124" t="s">
        <v>20</v>
      </c>
      <c r="J122" s="126"/>
      <c r="K122" s="126"/>
      <c r="L122" s="126"/>
      <c r="M122" s="126"/>
      <c r="N122" s="126"/>
      <c r="O122" s="126"/>
    </row>
    <row r="123" ht="15.75" customHeight="1">
      <c r="A123" s="123">
        <v>2019.0</v>
      </c>
      <c r="B123" s="124" t="s">
        <v>132</v>
      </c>
      <c r="C123" s="124" t="s">
        <v>57</v>
      </c>
      <c r="D123" s="124" t="s">
        <v>26</v>
      </c>
      <c r="E123" s="124" t="s">
        <v>126</v>
      </c>
      <c r="F123" s="124" t="s">
        <v>112</v>
      </c>
      <c r="G123" s="124" t="s">
        <v>128</v>
      </c>
      <c r="H123" s="125">
        <v>243.0</v>
      </c>
      <c r="I123" s="124" t="s">
        <v>20</v>
      </c>
      <c r="J123" s="126"/>
      <c r="K123" s="126"/>
      <c r="L123" s="126"/>
      <c r="M123" s="126"/>
      <c r="N123" s="126"/>
      <c r="O123" s="126"/>
    </row>
    <row r="124" ht="15.75" customHeight="1">
      <c r="A124" s="123">
        <v>2019.0</v>
      </c>
      <c r="B124" s="124" t="s">
        <v>132</v>
      </c>
      <c r="C124" s="124" t="s">
        <v>57</v>
      </c>
      <c r="D124" s="124" t="s">
        <v>25</v>
      </c>
      <c r="E124" s="124" t="s">
        <v>138</v>
      </c>
      <c r="F124" s="124" t="s">
        <v>135</v>
      </c>
      <c r="G124" s="124" t="s">
        <v>136</v>
      </c>
      <c r="H124" s="125">
        <v>3738.0</v>
      </c>
      <c r="I124" s="124" t="s">
        <v>20</v>
      </c>
      <c r="J124" s="126"/>
      <c r="K124" s="126"/>
      <c r="L124" s="126"/>
      <c r="M124" s="126"/>
      <c r="N124" s="126"/>
      <c r="O124" s="126"/>
    </row>
    <row r="125" ht="15.75" customHeight="1">
      <c r="A125" s="123">
        <v>2019.0</v>
      </c>
      <c r="B125" s="124" t="s">
        <v>132</v>
      </c>
      <c r="C125" s="124" t="s">
        <v>57</v>
      </c>
      <c r="D125" s="124" t="s">
        <v>26</v>
      </c>
      <c r="E125" s="124" t="s">
        <v>126</v>
      </c>
      <c r="F125" s="124" t="s">
        <v>135</v>
      </c>
      <c r="G125" s="124" t="s">
        <v>136</v>
      </c>
      <c r="H125" s="125">
        <v>2846.0</v>
      </c>
      <c r="I125" s="124" t="s">
        <v>20</v>
      </c>
      <c r="J125" s="126"/>
      <c r="K125" s="126"/>
      <c r="L125" s="126"/>
      <c r="M125" s="126"/>
      <c r="N125" s="126"/>
      <c r="O125" s="126"/>
    </row>
    <row r="126" ht="15.75" customHeight="1">
      <c r="A126" s="123">
        <v>2019.0</v>
      </c>
      <c r="B126" s="124" t="s">
        <v>132</v>
      </c>
      <c r="C126" s="124" t="s">
        <v>57</v>
      </c>
      <c r="D126" s="124" t="s">
        <v>25</v>
      </c>
      <c r="E126" s="124" t="s">
        <v>138</v>
      </c>
      <c r="F126" s="124" t="s">
        <v>134</v>
      </c>
      <c r="G126" s="124" t="s">
        <v>134</v>
      </c>
      <c r="H126" s="125">
        <v>19643.0</v>
      </c>
      <c r="I126" s="124" t="s">
        <v>20</v>
      </c>
      <c r="J126" s="126"/>
      <c r="K126" s="126"/>
      <c r="L126" s="126"/>
      <c r="M126" s="126"/>
      <c r="N126" s="126"/>
      <c r="O126" s="126"/>
    </row>
    <row r="127" ht="15.75" customHeight="1">
      <c r="A127" s="123">
        <v>2019.0</v>
      </c>
      <c r="B127" s="124" t="s">
        <v>132</v>
      </c>
      <c r="C127" s="124" t="s">
        <v>57</v>
      </c>
      <c r="D127" s="124" t="s">
        <v>26</v>
      </c>
      <c r="E127" s="124" t="s">
        <v>126</v>
      </c>
      <c r="F127" s="124" t="s">
        <v>134</v>
      </c>
      <c r="G127" s="124" t="s">
        <v>134</v>
      </c>
      <c r="H127" s="125">
        <v>3119.0</v>
      </c>
      <c r="I127" s="124" t="s">
        <v>20</v>
      </c>
      <c r="J127" s="126"/>
      <c r="K127" s="126"/>
      <c r="L127" s="126"/>
      <c r="M127" s="126"/>
      <c r="N127" s="126"/>
      <c r="O127" s="126"/>
    </row>
    <row r="128" ht="15.75" customHeight="1">
      <c r="A128" s="123">
        <v>2019.0</v>
      </c>
      <c r="B128" s="124" t="s">
        <v>132</v>
      </c>
      <c r="C128" s="124" t="s">
        <v>57</v>
      </c>
      <c r="D128" s="124" t="s">
        <v>26</v>
      </c>
      <c r="E128" s="124" t="s">
        <v>126</v>
      </c>
      <c r="F128" s="124" t="s">
        <v>137</v>
      </c>
      <c r="G128" s="124" t="s">
        <v>136</v>
      </c>
      <c r="H128" s="125">
        <v>640.0</v>
      </c>
      <c r="I128" s="124" t="s">
        <v>20</v>
      </c>
      <c r="J128" s="126"/>
      <c r="K128" s="126"/>
      <c r="L128" s="126"/>
      <c r="M128" s="126"/>
      <c r="N128" s="126"/>
      <c r="O128" s="126"/>
    </row>
    <row r="129" ht="15.75" customHeight="1">
      <c r="A129" s="130">
        <v>2019.0</v>
      </c>
      <c r="B129" s="130" t="s">
        <v>132</v>
      </c>
      <c r="C129" s="130" t="s">
        <v>57</v>
      </c>
      <c r="D129" s="130" t="s">
        <v>25</v>
      </c>
      <c r="E129" s="130" t="s">
        <v>138</v>
      </c>
      <c r="F129" s="130" t="s">
        <v>127</v>
      </c>
      <c r="G129" s="130" t="s">
        <v>128</v>
      </c>
      <c r="H129" s="132">
        <v>26681.0</v>
      </c>
      <c r="I129" s="130" t="s">
        <v>20</v>
      </c>
      <c r="J129" s="126"/>
      <c r="K129" s="126"/>
      <c r="L129" s="126"/>
      <c r="M129" s="126"/>
      <c r="N129" s="126"/>
      <c r="O129" s="126"/>
    </row>
    <row r="130" ht="15.75" customHeight="1">
      <c r="A130" s="130">
        <v>2019.0</v>
      </c>
      <c r="B130" s="130" t="s">
        <v>132</v>
      </c>
      <c r="C130" s="130" t="s">
        <v>57</v>
      </c>
      <c r="D130" s="130" t="s">
        <v>26</v>
      </c>
      <c r="E130" s="130" t="s">
        <v>126</v>
      </c>
      <c r="F130" s="130" t="s">
        <v>127</v>
      </c>
      <c r="G130" s="130" t="s">
        <v>128</v>
      </c>
      <c r="H130" s="132">
        <v>5243.0</v>
      </c>
      <c r="I130" s="130" t="s">
        <v>20</v>
      </c>
      <c r="J130" s="126"/>
      <c r="K130" s="126"/>
      <c r="L130" s="126"/>
      <c r="M130" s="126"/>
      <c r="N130" s="126"/>
      <c r="O130" s="126"/>
    </row>
    <row r="131" ht="15.75" customHeight="1">
      <c r="A131" s="123">
        <v>2019.0</v>
      </c>
      <c r="B131" s="124" t="s">
        <v>133</v>
      </c>
      <c r="C131" s="124" t="s">
        <v>58</v>
      </c>
      <c r="D131" s="124" t="s">
        <v>25</v>
      </c>
      <c r="E131" s="124" t="s">
        <v>138</v>
      </c>
      <c r="F131" s="124" t="s">
        <v>112</v>
      </c>
      <c r="G131" s="124" t="s">
        <v>128</v>
      </c>
      <c r="H131" s="125">
        <v>5548.0</v>
      </c>
      <c r="I131" s="124" t="s">
        <v>20</v>
      </c>
      <c r="J131" s="126"/>
      <c r="K131" s="126"/>
      <c r="L131" s="126"/>
      <c r="M131" s="126"/>
      <c r="N131" s="126"/>
      <c r="O131" s="126"/>
    </row>
    <row r="132" ht="15.75" customHeight="1">
      <c r="A132" s="123">
        <v>2019.0</v>
      </c>
      <c r="B132" s="124" t="s">
        <v>133</v>
      </c>
      <c r="C132" s="124" t="s">
        <v>58</v>
      </c>
      <c r="D132" s="124" t="s">
        <v>26</v>
      </c>
      <c r="E132" s="124" t="s">
        <v>126</v>
      </c>
      <c r="F132" s="124" t="s">
        <v>112</v>
      </c>
      <c r="G132" s="124" t="s">
        <v>128</v>
      </c>
      <c r="H132" s="125">
        <v>416.0</v>
      </c>
      <c r="I132" s="124" t="s">
        <v>20</v>
      </c>
      <c r="J132" s="126"/>
      <c r="K132" s="126"/>
      <c r="L132" s="126"/>
      <c r="M132" s="126"/>
      <c r="N132" s="126"/>
      <c r="O132" s="126"/>
    </row>
    <row r="133" ht="15.75" customHeight="1">
      <c r="A133" s="123">
        <v>2019.0</v>
      </c>
      <c r="B133" s="124" t="s">
        <v>133</v>
      </c>
      <c r="C133" s="124" t="s">
        <v>58</v>
      </c>
      <c r="D133" s="124" t="s">
        <v>25</v>
      </c>
      <c r="E133" s="124" t="s">
        <v>138</v>
      </c>
      <c r="F133" s="124" t="s">
        <v>135</v>
      </c>
      <c r="G133" s="124" t="s">
        <v>136</v>
      </c>
      <c r="H133" s="125">
        <v>8139.0</v>
      </c>
      <c r="I133" s="124" t="s">
        <v>20</v>
      </c>
      <c r="J133" s="126"/>
      <c r="K133" s="126"/>
      <c r="L133" s="126"/>
      <c r="M133" s="126"/>
      <c r="N133" s="126"/>
      <c r="O133" s="126"/>
    </row>
    <row r="134" ht="15.75" customHeight="1">
      <c r="A134" s="123">
        <v>2019.0</v>
      </c>
      <c r="B134" s="124" t="s">
        <v>133</v>
      </c>
      <c r="C134" s="124" t="s">
        <v>58</v>
      </c>
      <c r="D134" s="124" t="s">
        <v>26</v>
      </c>
      <c r="E134" s="124" t="s">
        <v>126</v>
      </c>
      <c r="F134" s="124" t="s">
        <v>135</v>
      </c>
      <c r="G134" s="124" t="s">
        <v>136</v>
      </c>
      <c r="H134" s="125">
        <v>3172.0</v>
      </c>
      <c r="I134" s="124" t="s">
        <v>20</v>
      </c>
      <c r="J134" s="126"/>
      <c r="K134" s="126"/>
      <c r="L134" s="126"/>
      <c r="M134" s="126"/>
      <c r="N134" s="126"/>
      <c r="O134" s="126"/>
    </row>
    <row r="135" ht="15.75" customHeight="1">
      <c r="A135" s="123">
        <v>2019.0</v>
      </c>
      <c r="B135" s="124" t="s">
        <v>133</v>
      </c>
      <c r="C135" s="124" t="s">
        <v>58</v>
      </c>
      <c r="D135" s="124" t="s">
        <v>25</v>
      </c>
      <c r="E135" s="124" t="s">
        <v>138</v>
      </c>
      <c r="F135" s="124" t="s">
        <v>134</v>
      </c>
      <c r="G135" s="124" t="s">
        <v>134</v>
      </c>
      <c r="H135" s="125">
        <v>18220.0</v>
      </c>
      <c r="I135" s="124" t="s">
        <v>20</v>
      </c>
      <c r="J135" s="126"/>
      <c r="K135" s="126"/>
      <c r="L135" s="126"/>
      <c r="M135" s="126"/>
      <c r="N135" s="126"/>
      <c r="O135" s="126"/>
    </row>
    <row r="136" ht="15.75" customHeight="1">
      <c r="A136" s="123">
        <v>2019.0</v>
      </c>
      <c r="B136" s="124" t="s">
        <v>133</v>
      </c>
      <c r="C136" s="124" t="s">
        <v>58</v>
      </c>
      <c r="D136" s="124" t="s">
        <v>26</v>
      </c>
      <c r="E136" s="124" t="s">
        <v>126</v>
      </c>
      <c r="F136" s="124" t="s">
        <v>134</v>
      </c>
      <c r="G136" s="124" t="s">
        <v>134</v>
      </c>
      <c r="H136" s="125">
        <v>4585.0</v>
      </c>
      <c r="I136" s="124" t="s">
        <v>20</v>
      </c>
      <c r="J136" s="126"/>
      <c r="K136" s="126"/>
      <c r="L136" s="126"/>
      <c r="M136" s="126"/>
      <c r="N136" s="126"/>
      <c r="O136" s="126"/>
    </row>
    <row r="137" ht="15.75" customHeight="1">
      <c r="A137" s="123">
        <v>2019.0</v>
      </c>
      <c r="B137" s="124" t="s">
        <v>133</v>
      </c>
      <c r="C137" s="124" t="s">
        <v>58</v>
      </c>
      <c r="D137" s="124" t="s">
        <v>26</v>
      </c>
      <c r="E137" s="124" t="s">
        <v>126</v>
      </c>
      <c r="F137" s="124" t="s">
        <v>137</v>
      </c>
      <c r="G137" s="124" t="s">
        <v>136</v>
      </c>
      <c r="H137" s="125">
        <v>1279.0</v>
      </c>
      <c r="I137" s="124" t="s">
        <v>20</v>
      </c>
      <c r="J137" s="126"/>
      <c r="K137" s="126"/>
      <c r="L137" s="126"/>
      <c r="M137" s="126"/>
      <c r="N137" s="126"/>
      <c r="O137" s="126"/>
    </row>
    <row r="138" ht="15.75" customHeight="1">
      <c r="A138" s="130">
        <v>2019.0</v>
      </c>
      <c r="B138" s="130" t="s">
        <v>133</v>
      </c>
      <c r="C138" s="130" t="s">
        <v>58</v>
      </c>
      <c r="D138" s="130" t="s">
        <v>25</v>
      </c>
      <c r="E138" s="130" t="s">
        <v>138</v>
      </c>
      <c r="F138" s="130" t="s">
        <v>127</v>
      </c>
      <c r="G138" s="130" t="s">
        <v>128</v>
      </c>
      <c r="H138" s="132">
        <v>45727.0</v>
      </c>
      <c r="I138" s="130" t="s">
        <v>20</v>
      </c>
      <c r="J138" s="126"/>
      <c r="K138" s="126"/>
      <c r="L138" s="126"/>
      <c r="M138" s="126"/>
      <c r="N138" s="126"/>
      <c r="O138" s="126"/>
    </row>
    <row r="139" ht="15.75" customHeight="1">
      <c r="A139" s="130">
        <v>2019.0</v>
      </c>
      <c r="B139" s="130" t="s">
        <v>133</v>
      </c>
      <c r="C139" s="130" t="s">
        <v>58</v>
      </c>
      <c r="D139" s="130" t="s">
        <v>26</v>
      </c>
      <c r="E139" s="130" t="s">
        <v>126</v>
      </c>
      <c r="F139" s="130" t="s">
        <v>127</v>
      </c>
      <c r="G139" s="130" t="s">
        <v>128</v>
      </c>
      <c r="H139" s="132">
        <v>8270.0</v>
      </c>
      <c r="I139" s="130" t="s">
        <v>20</v>
      </c>
      <c r="J139" s="126"/>
      <c r="K139" s="126"/>
      <c r="L139" s="126"/>
      <c r="M139" s="126"/>
      <c r="N139" s="126"/>
      <c r="O139" s="126"/>
    </row>
    <row r="140" ht="15.75" customHeight="1">
      <c r="A140" s="123">
        <v>2019.0</v>
      </c>
      <c r="B140" s="124" t="s">
        <v>125</v>
      </c>
      <c r="C140" s="124" t="s">
        <v>59</v>
      </c>
      <c r="D140" s="124" t="s">
        <v>25</v>
      </c>
      <c r="E140" s="124" t="s">
        <v>138</v>
      </c>
      <c r="F140" s="124" t="s">
        <v>112</v>
      </c>
      <c r="G140" s="124" t="s">
        <v>128</v>
      </c>
      <c r="H140" s="125">
        <v>4939.0</v>
      </c>
      <c r="I140" s="124" t="s">
        <v>20</v>
      </c>
      <c r="J140" s="126"/>
      <c r="K140" s="126"/>
      <c r="L140" s="126"/>
      <c r="M140" s="126"/>
      <c r="N140" s="126"/>
      <c r="O140" s="126"/>
    </row>
    <row r="141" ht="15.75" customHeight="1">
      <c r="A141" s="123">
        <v>2019.0</v>
      </c>
      <c r="B141" s="124" t="s">
        <v>125</v>
      </c>
      <c r="C141" s="124" t="s">
        <v>59</v>
      </c>
      <c r="D141" s="124" t="s">
        <v>26</v>
      </c>
      <c r="E141" s="124" t="s">
        <v>126</v>
      </c>
      <c r="F141" s="124" t="s">
        <v>112</v>
      </c>
      <c r="G141" s="124" t="s">
        <v>128</v>
      </c>
      <c r="H141" s="125">
        <v>475.0</v>
      </c>
      <c r="I141" s="124" t="s">
        <v>20</v>
      </c>
      <c r="J141" s="126"/>
      <c r="K141" s="126"/>
      <c r="L141" s="126"/>
      <c r="M141" s="126"/>
      <c r="N141" s="126"/>
      <c r="O141" s="126"/>
    </row>
    <row r="142" ht="15.75" customHeight="1">
      <c r="A142" s="123">
        <v>2019.0</v>
      </c>
      <c r="B142" s="124" t="s">
        <v>125</v>
      </c>
      <c r="C142" s="124" t="s">
        <v>59</v>
      </c>
      <c r="D142" s="124" t="s">
        <v>25</v>
      </c>
      <c r="E142" s="124" t="s">
        <v>138</v>
      </c>
      <c r="F142" s="124" t="s">
        <v>135</v>
      </c>
      <c r="G142" s="124" t="s">
        <v>136</v>
      </c>
      <c r="H142" s="125">
        <v>7576.0</v>
      </c>
      <c r="I142" s="124" t="s">
        <v>20</v>
      </c>
      <c r="J142" s="126"/>
      <c r="K142" s="126"/>
      <c r="L142" s="126"/>
      <c r="M142" s="126"/>
      <c r="N142" s="126"/>
      <c r="O142" s="126"/>
    </row>
    <row r="143" ht="15.75" customHeight="1">
      <c r="A143" s="123">
        <v>2019.0</v>
      </c>
      <c r="B143" s="124" t="s">
        <v>125</v>
      </c>
      <c r="C143" s="124" t="s">
        <v>59</v>
      </c>
      <c r="D143" s="124" t="s">
        <v>26</v>
      </c>
      <c r="E143" s="124" t="s">
        <v>126</v>
      </c>
      <c r="F143" s="124" t="s">
        <v>135</v>
      </c>
      <c r="G143" s="124" t="s">
        <v>136</v>
      </c>
      <c r="H143" s="125">
        <v>3037.0</v>
      </c>
      <c r="I143" s="124" t="s">
        <v>20</v>
      </c>
      <c r="J143" s="126"/>
      <c r="K143" s="126"/>
      <c r="L143" s="126"/>
      <c r="M143" s="126"/>
      <c r="N143" s="126"/>
      <c r="O143" s="126"/>
    </row>
    <row r="144" ht="15.75" customHeight="1">
      <c r="A144" s="123">
        <v>2019.0</v>
      </c>
      <c r="B144" s="124" t="s">
        <v>125</v>
      </c>
      <c r="C144" s="124" t="s">
        <v>59</v>
      </c>
      <c r="D144" s="124" t="s">
        <v>25</v>
      </c>
      <c r="E144" s="124" t="s">
        <v>138</v>
      </c>
      <c r="F144" s="124" t="s">
        <v>134</v>
      </c>
      <c r="G144" s="124" t="s">
        <v>134</v>
      </c>
      <c r="H144" s="125">
        <v>26080.0</v>
      </c>
      <c r="I144" s="124" t="s">
        <v>20</v>
      </c>
      <c r="J144" s="126"/>
      <c r="K144" s="126"/>
      <c r="L144" s="126"/>
      <c r="M144" s="126"/>
      <c r="N144" s="126"/>
      <c r="O144" s="126"/>
    </row>
    <row r="145" ht="15.75" customHeight="1">
      <c r="A145" s="123">
        <v>2019.0</v>
      </c>
      <c r="B145" s="124" t="s">
        <v>125</v>
      </c>
      <c r="C145" s="124" t="s">
        <v>59</v>
      </c>
      <c r="D145" s="124" t="s">
        <v>26</v>
      </c>
      <c r="E145" s="124" t="s">
        <v>126</v>
      </c>
      <c r="F145" s="124" t="s">
        <v>134</v>
      </c>
      <c r="G145" s="124" t="s">
        <v>134</v>
      </c>
      <c r="H145" s="125">
        <v>4001.0</v>
      </c>
      <c r="I145" s="124" t="s">
        <v>20</v>
      </c>
      <c r="J145" s="126"/>
      <c r="K145" s="126"/>
      <c r="L145" s="126"/>
      <c r="M145" s="126"/>
      <c r="N145" s="126"/>
      <c r="O145" s="126"/>
    </row>
    <row r="146" ht="15.75" customHeight="1">
      <c r="A146" s="123">
        <v>2019.0</v>
      </c>
      <c r="B146" s="124" t="s">
        <v>125</v>
      </c>
      <c r="C146" s="124" t="s">
        <v>59</v>
      </c>
      <c r="D146" s="124" t="s">
        <v>25</v>
      </c>
      <c r="E146" s="124" t="s">
        <v>138</v>
      </c>
      <c r="F146" s="124" t="s">
        <v>137</v>
      </c>
      <c r="G146" s="124" t="s">
        <v>136</v>
      </c>
      <c r="H146" s="125">
        <v>3072.0</v>
      </c>
      <c r="I146" s="124" t="s">
        <v>20</v>
      </c>
      <c r="J146" s="126"/>
      <c r="K146" s="126"/>
      <c r="L146" s="126"/>
      <c r="M146" s="126"/>
      <c r="N146" s="126"/>
      <c r="O146" s="126"/>
    </row>
    <row r="147" ht="15.75" customHeight="1">
      <c r="A147" s="123">
        <v>2019.0</v>
      </c>
      <c r="B147" s="124" t="s">
        <v>125</v>
      </c>
      <c r="C147" s="124" t="s">
        <v>59</v>
      </c>
      <c r="D147" s="124" t="s">
        <v>26</v>
      </c>
      <c r="E147" s="124" t="s">
        <v>126</v>
      </c>
      <c r="F147" s="124" t="s">
        <v>137</v>
      </c>
      <c r="G147" s="124" t="s">
        <v>136</v>
      </c>
      <c r="H147" s="125">
        <v>923.0</v>
      </c>
      <c r="I147" s="124" t="s">
        <v>20</v>
      </c>
      <c r="J147" s="126"/>
      <c r="K147" s="126"/>
      <c r="L147" s="126"/>
      <c r="M147" s="126"/>
      <c r="N147" s="126"/>
      <c r="O147" s="126"/>
    </row>
    <row r="148" ht="15.75" customHeight="1">
      <c r="A148" s="130">
        <v>2019.0</v>
      </c>
      <c r="B148" s="130" t="s">
        <v>125</v>
      </c>
      <c r="C148" s="130" t="s">
        <v>59</v>
      </c>
      <c r="D148" s="130" t="s">
        <v>25</v>
      </c>
      <c r="E148" s="130" t="s">
        <v>138</v>
      </c>
      <c r="F148" s="130" t="s">
        <v>127</v>
      </c>
      <c r="G148" s="130" t="s">
        <v>128</v>
      </c>
      <c r="H148" s="132">
        <v>38036.0</v>
      </c>
      <c r="I148" s="130" t="s">
        <v>20</v>
      </c>
      <c r="J148" s="126"/>
      <c r="K148" s="126"/>
      <c r="L148" s="126"/>
      <c r="M148" s="126"/>
      <c r="N148" s="126"/>
      <c r="O148" s="126"/>
    </row>
    <row r="149" ht="15.75" customHeight="1">
      <c r="A149" s="130">
        <v>2019.0</v>
      </c>
      <c r="B149" s="130" t="s">
        <v>125</v>
      </c>
      <c r="C149" s="130" t="s">
        <v>59</v>
      </c>
      <c r="D149" s="130" t="s">
        <v>26</v>
      </c>
      <c r="E149" s="130" t="s">
        <v>126</v>
      </c>
      <c r="F149" s="130" t="s">
        <v>127</v>
      </c>
      <c r="G149" s="130" t="s">
        <v>128</v>
      </c>
      <c r="H149" s="132">
        <v>9047.0</v>
      </c>
      <c r="I149" s="130" t="s">
        <v>20</v>
      </c>
      <c r="J149" s="126"/>
      <c r="K149" s="126"/>
      <c r="L149" s="126"/>
      <c r="M149" s="126"/>
      <c r="N149" s="126"/>
      <c r="O149" s="126"/>
    </row>
    <row r="150" ht="15.75" customHeight="1">
      <c r="A150" s="123">
        <v>2019.0</v>
      </c>
      <c r="B150" s="124" t="s">
        <v>129</v>
      </c>
      <c r="C150" s="124" t="s">
        <v>60</v>
      </c>
      <c r="D150" s="124" t="s">
        <v>25</v>
      </c>
      <c r="E150" s="124" t="s">
        <v>138</v>
      </c>
      <c r="F150" s="124" t="s">
        <v>112</v>
      </c>
      <c r="G150" s="124" t="s">
        <v>128</v>
      </c>
      <c r="H150" s="125">
        <v>2759.0</v>
      </c>
      <c r="I150" s="124" t="s">
        <v>20</v>
      </c>
      <c r="J150" s="126"/>
      <c r="K150" s="126"/>
      <c r="L150" s="126"/>
      <c r="M150" s="126"/>
      <c r="N150" s="126"/>
      <c r="O150" s="126"/>
    </row>
    <row r="151" ht="15.75" customHeight="1">
      <c r="A151" s="123">
        <v>2019.0</v>
      </c>
      <c r="B151" s="124" t="s">
        <v>129</v>
      </c>
      <c r="C151" s="124" t="s">
        <v>60</v>
      </c>
      <c r="D151" s="124" t="s">
        <v>26</v>
      </c>
      <c r="E151" s="124" t="s">
        <v>126</v>
      </c>
      <c r="F151" s="124" t="s">
        <v>112</v>
      </c>
      <c r="G151" s="124" t="s">
        <v>128</v>
      </c>
      <c r="H151" s="125">
        <v>543.0</v>
      </c>
      <c r="I151" s="124" t="s">
        <v>20</v>
      </c>
      <c r="J151" s="126"/>
      <c r="K151" s="126"/>
      <c r="L151" s="126"/>
      <c r="M151" s="126"/>
      <c r="N151" s="126"/>
      <c r="O151" s="126"/>
    </row>
    <row r="152" ht="15.75" customHeight="1">
      <c r="A152" s="123">
        <v>2019.0</v>
      </c>
      <c r="B152" s="124" t="s">
        <v>129</v>
      </c>
      <c r="C152" s="124" t="s">
        <v>60</v>
      </c>
      <c r="D152" s="124" t="s">
        <v>25</v>
      </c>
      <c r="E152" s="124" t="s">
        <v>138</v>
      </c>
      <c r="F152" s="124" t="s">
        <v>135</v>
      </c>
      <c r="G152" s="124" t="s">
        <v>136</v>
      </c>
      <c r="H152" s="125">
        <v>9821.0</v>
      </c>
      <c r="I152" s="124" t="s">
        <v>20</v>
      </c>
      <c r="J152" s="126"/>
      <c r="K152" s="126"/>
      <c r="L152" s="126"/>
      <c r="M152" s="126"/>
      <c r="N152" s="126"/>
      <c r="O152" s="126"/>
    </row>
    <row r="153" ht="15.75" customHeight="1">
      <c r="A153" s="123">
        <v>2019.0</v>
      </c>
      <c r="B153" s="124" t="s">
        <v>129</v>
      </c>
      <c r="C153" s="124" t="s">
        <v>60</v>
      </c>
      <c r="D153" s="124" t="s">
        <v>26</v>
      </c>
      <c r="E153" s="124" t="s">
        <v>126</v>
      </c>
      <c r="F153" s="124" t="s">
        <v>135</v>
      </c>
      <c r="G153" s="124" t="s">
        <v>136</v>
      </c>
      <c r="H153" s="125">
        <v>2969.0</v>
      </c>
      <c r="I153" s="124" t="s">
        <v>20</v>
      </c>
      <c r="J153" s="126"/>
      <c r="K153" s="126"/>
      <c r="L153" s="126"/>
      <c r="M153" s="126"/>
      <c r="N153" s="126"/>
      <c r="O153" s="126"/>
    </row>
    <row r="154" ht="15.75" customHeight="1">
      <c r="A154" s="123">
        <v>2019.0</v>
      </c>
      <c r="B154" s="124" t="s">
        <v>129</v>
      </c>
      <c r="C154" s="124" t="s">
        <v>60</v>
      </c>
      <c r="D154" s="124" t="s">
        <v>25</v>
      </c>
      <c r="E154" s="124" t="s">
        <v>138</v>
      </c>
      <c r="F154" s="124" t="s">
        <v>134</v>
      </c>
      <c r="G154" s="124" t="s">
        <v>134</v>
      </c>
      <c r="H154" s="125">
        <v>31941.0</v>
      </c>
      <c r="I154" s="124" t="s">
        <v>20</v>
      </c>
      <c r="J154" s="126"/>
      <c r="K154" s="126"/>
      <c r="L154" s="126"/>
      <c r="M154" s="126"/>
      <c r="N154" s="126"/>
      <c r="O154" s="126"/>
    </row>
    <row r="155" ht="15.75" customHeight="1">
      <c r="A155" s="123">
        <v>2019.0</v>
      </c>
      <c r="B155" s="124" t="s">
        <v>129</v>
      </c>
      <c r="C155" s="124" t="s">
        <v>60</v>
      </c>
      <c r="D155" s="124" t="s">
        <v>26</v>
      </c>
      <c r="E155" s="124" t="s">
        <v>126</v>
      </c>
      <c r="F155" s="124" t="s">
        <v>134</v>
      </c>
      <c r="G155" s="124" t="s">
        <v>134</v>
      </c>
      <c r="H155" s="125">
        <v>3530.0</v>
      </c>
      <c r="I155" s="124" t="s">
        <v>20</v>
      </c>
      <c r="J155" s="126"/>
      <c r="K155" s="126"/>
      <c r="L155" s="126"/>
      <c r="M155" s="126"/>
      <c r="N155" s="126"/>
      <c r="O155" s="126"/>
    </row>
    <row r="156" ht="15.75" customHeight="1">
      <c r="A156" s="123">
        <v>2019.0</v>
      </c>
      <c r="B156" s="124" t="s">
        <v>129</v>
      </c>
      <c r="C156" s="124" t="s">
        <v>60</v>
      </c>
      <c r="D156" s="124" t="s">
        <v>25</v>
      </c>
      <c r="E156" s="124" t="s">
        <v>138</v>
      </c>
      <c r="F156" s="124" t="s">
        <v>137</v>
      </c>
      <c r="G156" s="124" t="s">
        <v>136</v>
      </c>
      <c r="H156" s="125">
        <v>5386.0</v>
      </c>
      <c r="I156" s="124" t="s">
        <v>20</v>
      </c>
      <c r="J156" s="126"/>
      <c r="K156" s="126"/>
      <c r="L156" s="126"/>
      <c r="M156" s="126"/>
      <c r="N156" s="126"/>
      <c r="O156" s="126"/>
    </row>
    <row r="157" ht="15.75" customHeight="1">
      <c r="A157" s="123">
        <v>2019.0</v>
      </c>
      <c r="B157" s="124" t="s">
        <v>129</v>
      </c>
      <c r="C157" s="124" t="s">
        <v>60</v>
      </c>
      <c r="D157" s="124" t="s">
        <v>26</v>
      </c>
      <c r="E157" s="124" t="s">
        <v>126</v>
      </c>
      <c r="F157" s="124" t="s">
        <v>137</v>
      </c>
      <c r="G157" s="124" t="s">
        <v>136</v>
      </c>
      <c r="H157" s="125">
        <v>660.0</v>
      </c>
      <c r="I157" s="124" t="s">
        <v>20</v>
      </c>
      <c r="J157" s="126"/>
      <c r="K157" s="126"/>
      <c r="L157" s="126"/>
      <c r="M157" s="126"/>
      <c r="N157" s="126"/>
      <c r="O157" s="126"/>
    </row>
    <row r="158" ht="15.75" customHeight="1">
      <c r="A158" s="130">
        <v>2019.0</v>
      </c>
      <c r="B158" s="130" t="s">
        <v>129</v>
      </c>
      <c r="C158" s="130" t="s">
        <v>60</v>
      </c>
      <c r="D158" s="130" t="s">
        <v>25</v>
      </c>
      <c r="E158" s="130" t="s">
        <v>138</v>
      </c>
      <c r="F158" s="130" t="s">
        <v>127</v>
      </c>
      <c r="G158" s="130" t="s">
        <v>128</v>
      </c>
      <c r="H158" s="132">
        <v>42713.0</v>
      </c>
      <c r="I158" s="130" t="s">
        <v>20</v>
      </c>
      <c r="J158" s="126"/>
      <c r="K158" s="126"/>
      <c r="L158" s="126"/>
      <c r="M158" s="126"/>
      <c r="N158" s="126"/>
      <c r="O158" s="126"/>
    </row>
    <row r="159" ht="15.75" customHeight="1">
      <c r="A159" s="130">
        <v>2019.0</v>
      </c>
      <c r="B159" s="130" t="s">
        <v>129</v>
      </c>
      <c r="C159" s="130" t="s">
        <v>60</v>
      </c>
      <c r="D159" s="130" t="s">
        <v>26</v>
      </c>
      <c r="E159" s="130" t="s">
        <v>126</v>
      </c>
      <c r="F159" s="130" t="s">
        <v>127</v>
      </c>
      <c r="G159" s="130" t="s">
        <v>128</v>
      </c>
      <c r="H159" s="132">
        <v>11773.0</v>
      </c>
      <c r="I159" s="130" t="s">
        <v>20</v>
      </c>
      <c r="J159" s="126"/>
      <c r="K159" s="126"/>
      <c r="L159" s="126"/>
      <c r="M159" s="126"/>
      <c r="N159" s="126"/>
      <c r="O159" s="126"/>
    </row>
    <row r="160" ht="15.75" customHeight="1">
      <c r="A160" s="123">
        <v>2020.0</v>
      </c>
      <c r="B160" s="124" t="s">
        <v>132</v>
      </c>
      <c r="C160" s="124" t="s">
        <v>61</v>
      </c>
      <c r="D160" s="124" t="s">
        <v>25</v>
      </c>
      <c r="E160" s="124" t="s">
        <v>138</v>
      </c>
      <c r="F160" s="124" t="s">
        <v>112</v>
      </c>
      <c r="G160" s="124" t="s">
        <v>128</v>
      </c>
      <c r="H160" s="125">
        <v>3620.0</v>
      </c>
      <c r="I160" s="124" t="s">
        <v>20</v>
      </c>
      <c r="J160" s="126"/>
      <c r="K160" s="126"/>
      <c r="L160" s="126"/>
      <c r="M160" s="126"/>
      <c r="N160" s="126"/>
      <c r="O160" s="126"/>
    </row>
    <row r="161" ht="15.75" customHeight="1">
      <c r="A161" s="123">
        <v>2020.0</v>
      </c>
      <c r="B161" s="124" t="s">
        <v>132</v>
      </c>
      <c r="C161" s="124" t="s">
        <v>61</v>
      </c>
      <c r="D161" s="124" t="s">
        <v>26</v>
      </c>
      <c r="E161" s="124" t="s">
        <v>126</v>
      </c>
      <c r="F161" s="124" t="s">
        <v>112</v>
      </c>
      <c r="G161" s="124" t="s">
        <v>128</v>
      </c>
      <c r="H161" s="125">
        <v>371.0</v>
      </c>
      <c r="I161" s="124" t="s">
        <v>20</v>
      </c>
      <c r="J161" s="126"/>
      <c r="K161" s="126"/>
      <c r="L161" s="126"/>
      <c r="M161" s="126"/>
      <c r="N161" s="126"/>
      <c r="O161" s="126"/>
    </row>
    <row r="162" ht="15.75" customHeight="1">
      <c r="A162" s="123">
        <v>2020.0</v>
      </c>
      <c r="B162" s="124" t="s">
        <v>132</v>
      </c>
      <c r="C162" s="124" t="s">
        <v>61</v>
      </c>
      <c r="D162" s="124" t="s">
        <v>25</v>
      </c>
      <c r="E162" s="124" t="s">
        <v>138</v>
      </c>
      <c r="F162" s="124" t="s">
        <v>135</v>
      </c>
      <c r="G162" s="124" t="s">
        <v>136</v>
      </c>
      <c r="H162" s="125">
        <v>1377.0</v>
      </c>
      <c r="I162" s="124" t="s">
        <v>20</v>
      </c>
      <c r="J162" s="126"/>
      <c r="K162" s="126"/>
      <c r="L162" s="126"/>
      <c r="M162" s="126"/>
      <c r="N162" s="126"/>
      <c r="O162" s="126"/>
    </row>
    <row r="163" ht="15.75" customHeight="1">
      <c r="A163" s="123">
        <v>2020.0</v>
      </c>
      <c r="B163" s="124" t="s">
        <v>132</v>
      </c>
      <c r="C163" s="124" t="s">
        <v>61</v>
      </c>
      <c r="D163" s="124" t="s">
        <v>25</v>
      </c>
      <c r="E163" s="124" t="s">
        <v>138</v>
      </c>
      <c r="F163" s="124" t="s">
        <v>135</v>
      </c>
      <c r="G163" s="124" t="s">
        <v>136</v>
      </c>
      <c r="H163" s="125">
        <v>16738.0</v>
      </c>
      <c r="I163" s="124" t="s">
        <v>21</v>
      </c>
      <c r="J163" s="126"/>
      <c r="K163" s="126"/>
      <c r="L163" s="126"/>
      <c r="M163" s="126"/>
      <c r="N163" s="126"/>
      <c r="O163" s="126"/>
    </row>
    <row r="164" ht="15.75" customHeight="1">
      <c r="A164" s="123">
        <v>2020.0</v>
      </c>
      <c r="B164" s="124" t="s">
        <v>132</v>
      </c>
      <c r="C164" s="124" t="s">
        <v>61</v>
      </c>
      <c r="D164" s="124" t="s">
        <v>26</v>
      </c>
      <c r="E164" s="124" t="s">
        <v>126</v>
      </c>
      <c r="F164" s="124" t="s">
        <v>135</v>
      </c>
      <c r="G164" s="124" t="s">
        <v>136</v>
      </c>
      <c r="H164" s="125">
        <v>1192.0</v>
      </c>
      <c r="I164" s="124" t="s">
        <v>20</v>
      </c>
      <c r="J164" s="126"/>
      <c r="K164" s="126"/>
      <c r="L164" s="126"/>
      <c r="M164" s="126"/>
      <c r="N164" s="126"/>
      <c r="O164" s="126"/>
    </row>
    <row r="165" ht="15.75" customHeight="1">
      <c r="A165" s="123">
        <v>2020.0</v>
      </c>
      <c r="B165" s="124" t="s">
        <v>132</v>
      </c>
      <c r="C165" s="124" t="s">
        <v>61</v>
      </c>
      <c r="D165" s="124" t="s">
        <v>25</v>
      </c>
      <c r="E165" s="124" t="s">
        <v>138</v>
      </c>
      <c r="F165" s="124" t="s">
        <v>134</v>
      </c>
      <c r="G165" s="124" t="s">
        <v>134</v>
      </c>
      <c r="H165" s="125">
        <v>21235.0</v>
      </c>
      <c r="I165" s="124" t="s">
        <v>20</v>
      </c>
      <c r="J165" s="126"/>
      <c r="K165" s="126"/>
      <c r="L165" s="126"/>
      <c r="M165" s="126"/>
      <c r="N165" s="126"/>
      <c r="O165" s="126"/>
    </row>
    <row r="166" ht="15.75" customHeight="1">
      <c r="A166" s="123">
        <v>2020.0</v>
      </c>
      <c r="B166" s="124" t="s">
        <v>132</v>
      </c>
      <c r="C166" s="124" t="s">
        <v>61</v>
      </c>
      <c r="D166" s="124" t="s">
        <v>26</v>
      </c>
      <c r="E166" s="124" t="s">
        <v>126</v>
      </c>
      <c r="F166" s="124" t="s">
        <v>134</v>
      </c>
      <c r="G166" s="124" t="s">
        <v>134</v>
      </c>
      <c r="H166" s="125">
        <v>2547.0</v>
      </c>
      <c r="I166" s="124" t="s">
        <v>20</v>
      </c>
      <c r="J166" s="126"/>
      <c r="K166" s="126"/>
      <c r="L166" s="126"/>
      <c r="M166" s="126"/>
      <c r="N166" s="126"/>
      <c r="O166" s="126"/>
    </row>
    <row r="167" ht="15.75" customHeight="1">
      <c r="A167" s="123">
        <v>2020.0</v>
      </c>
      <c r="B167" s="124" t="s">
        <v>132</v>
      </c>
      <c r="C167" s="124" t="s">
        <v>61</v>
      </c>
      <c r="D167" s="124" t="s">
        <v>25</v>
      </c>
      <c r="E167" s="124" t="s">
        <v>138</v>
      </c>
      <c r="F167" s="124" t="s">
        <v>137</v>
      </c>
      <c r="G167" s="124" t="s">
        <v>136</v>
      </c>
      <c r="H167" s="125">
        <v>7453.0</v>
      </c>
      <c r="I167" s="124" t="s">
        <v>20</v>
      </c>
      <c r="J167" s="126"/>
      <c r="K167" s="126"/>
      <c r="L167" s="126"/>
      <c r="M167" s="126"/>
      <c r="N167" s="126"/>
      <c r="O167" s="126"/>
    </row>
    <row r="168" ht="15.75" customHeight="1">
      <c r="A168" s="123">
        <v>2020.0</v>
      </c>
      <c r="B168" s="124" t="s">
        <v>132</v>
      </c>
      <c r="C168" s="124" t="s">
        <v>61</v>
      </c>
      <c r="D168" s="124" t="s">
        <v>26</v>
      </c>
      <c r="E168" s="124" t="s">
        <v>126</v>
      </c>
      <c r="F168" s="124" t="s">
        <v>137</v>
      </c>
      <c r="G168" s="124" t="s">
        <v>136</v>
      </c>
      <c r="H168" s="125">
        <v>506.0</v>
      </c>
      <c r="I168" s="124" t="s">
        <v>20</v>
      </c>
      <c r="J168" s="126"/>
      <c r="K168" s="126"/>
      <c r="L168" s="126"/>
      <c r="M168" s="126"/>
      <c r="N168" s="126"/>
      <c r="O168" s="126"/>
    </row>
    <row r="169" ht="15.75" customHeight="1">
      <c r="A169" s="130">
        <v>2020.0</v>
      </c>
      <c r="B169" s="130" t="s">
        <v>132</v>
      </c>
      <c r="C169" s="130" t="s">
        <v>61</v>
      </c>
      <c r="D169" s="130" t="s">
        <v>25</v>
      </c>
      <c r="E169" s="130" t="s">
        <v>138</v>
      </c>
      <c r="F169" s="130" t="s">
        <v>127</v>
      </c>
      <c r="G169" s="130" t="s">
        <v>128</v>
      </c>
      <c r="H169" s="132">
        <v>23677.0</v>
      </c>
      <c r="I169" s="130" t="s">
        <v>20</v>
      </c>
      <c r="J169" s="126"/>
      <c r="K169" s="126"/>
      <c r="L169" s="126"/>
      <c r="M169" s="126"/>
      <c r="N169" s="126"/>
      <c r="O169" s="126"/>
    </row>
    <row r="170" ht="15.75" customHeight="1">
      <c r="A170" s="130">
        <v>2020.0</v>
      </c>
      <c r="B170" s="130" t="s">
        <v>132</v>
      </c>
      <c r="C170" s="130" t="s">
        <v>61</v>
      </c>
      <c r="D170" s="130" t="s">
        <v>26</v>
      </c>
      <c r="E170" s="130" t="s">
        <v>126</v>
      </c>
      <c r="F170" s="130" t="s">
        <v>127</v>
      </c>
      <c r="G170" s="130" t="s">
        <v>128</v>
      </c>
      <c r="H170" s="132">
        <v>7614.0</v>
      </c>
      <c r="I170" s="130" t="s">
        <v>20</v>
      </c>
      <c r="J170" s="126"/>
      <c r="K170" s="126"/>
      <c r="L170" s="126"/>
      <c r="M170" s="126"/>
      <c r="N170" s="126"/>
      <c r="O170" s="126"/>
    </row>
    <row r="171" ht="15.75" customHeight="1">
      <c r="A171" s="130">
        <v>2020.0</v>
      </c>
      <c r="B171" s="130" t="s">
        <v>132</v>
      </c>
      <c r="C171" s="130" t="s">
        <v>61</v>
      </c>
      <c r="D171" s="130" t="s">
        <v>27</v>
      </c>
      <c r="E171" s="130" t="s">
        <v>138</v>
      </c>
      <c r="F171" s="130" t="s">
        <v>127</v>
      </c>
      <c r="G171" s="130" t="s">
        <v>128</v>
      </c>
      <c r="H171" s="132">
        <v>2166.0</v>
      </c>
      <c r="I171" s="130" t="s">
        <v>20</v>
      </c>
      <c r="J171" s="126"/>
      <c r="K171" s="126"/>
      <c r="L171" s="126"/>
      <c r="M171" s="126"/>
      <c r="N171" s="126"/>
      <c r="O171" s="126"/>
    </row>
    <row r="172" ht="15.75" customHeight="1">
      <c r="A172" s="123">
        <v>2020.0</v>
      </c>
      <c r="B172" s="124" t="s">
        <v>133</v>
      </c>
      <c r="C172" s="124" t="s">
        <v>62</v>
      </c>
      <c r="D172" s="124" t="s">
        <v>25</v>
      </c>
      <c r="E172" s="124" t="s">
        <v>138</v>
      </c>
      <c r="F172" s="124" t="s">
        <v>112</v>
      </c>
      <c r="G172" s="124" t="s">
        <v>128</v>
      </c>
      <c r="H172" s="125">
        <v>3213.0</v>
      </c>
      <c r="I172" s="124" t="s">
        <v>20</v>
      </c>
      <c r="J172" s="126"/>
      <c r="K172" s="126"/>
      <c r="L172" s="126"/>
      <c r="M172" s="126"/>
      <c r="N172" s="126"/>
      <c r="O172" s="126"/>
    </row>
    <row r="173" ht="15.75" customHeight="1">
      <c r="A173" s="123">
        <v>2020.0</v>
      </c>
      <c r="B173" s="124" t="s">
        <v>133</v>
      </c>
      <c r="C173" s="124" t="s">
        <v>62</v>
      </c>
      <c r="D173" s="124" t="s">
        <v>26</v>
      </c>
      <c r="E173" s="124" t="s">
        <v>126</v>
      </c>
      <c r="F173" s="124" t="s">
        <v>112</v>
      </c>
      <c r="G173" s="124" t="s">
        <v>128</v>
      </c>
      <c r="H173" s="125">
        <v>348.0</v>
      </c>
      <c r="I173" s="124" t="s">
        <v>20</v>
      </c>
      <c r="J173" s="126"/>
      <c r="K173" s="126"/>
      <c r="L173" s="126"/>
      <c r="M173" s="126"/>
      <c r="N173" s="126"/>
      <c r="O173" s="126"/>
    </row>
    <row r="174" ht="15.75" customHeight="1">
      <c r="A174" s="123">
        <v>2020.0</v>
      </c>
      <c r="B174" s="124" t="s">
        <v>133</v>
      </c>
      <c r="C174" s="124" t="s">
        <v>62</v>
      </c>
      <c r="D174" s="124" t="s">
        <v>27</v>
      </c>
      <c r="E174" s="124" t="s">
        <v>138</v>
      </c>
      <c r="F174" s="124" t="s">
        <v>112</v>
      </c>
      <c r="G174" s="124" t="s">
        <v>128</v>
      </c>
      <c r="H174" s="125">
        <v>252.0</v>
      </c>
      <c r="I174" s="124" t="s">
        <v>20</v>
      </c>
      <c r="J174" s="126"/>
      <c r="K174" s="126"/>
      <c r="L174" s="126"/>
      <c r="M174" s="126"/>
      <c r="N174" s="126"/>
      <c r="O174" s="126"/>
    </row>
    <row r="175" ht="15.75" customHeight="1">
      <c r="A175" s="123">
        <v>2020.0</v>
      </c>
      <c r="B175" s="124" t="s">
        <v>133</v>
      </c>
      <c r="C175" s="124" t="s">
        <v>62</v>
      </c>
      <c r="D175" s="124" t="s">
        <v>25</v>
      </c>
      <c r="E175" s="124" t="s">
        <v>138</v>
      </c>
      <c r="F175" s="124" t="s">
        <v>135</v>
      </c>
      <c r="G175" s="124" t="s">
        <v>136</v>
      </c>
      <c r="H175" s="125">
        <v>306.0</v>
      </c>
      <c r="I175" s="124" t="s">
        <v>20</v>
      </c>
      <c r="J175" s="126"/>
      <c r="K175" s="126"/>
      <c r="L175" s="126"/>
      <c r="M175" s="126"/>
      <c r="N175" s="126"/>
      <c r="O175" s="126"/>
    </row>
    <row r="176" ht="15.75" customHeight="1">
      <c r="A176" s="123">
        <v>2020.0</v>
      </c>
      <c r="B176" s="124" t="s">
        <v>133</v>
      </c>
      <c r="C176" s="124" t="s">
        <v>62</v>
      </c>
      <c r="D176" s="124" t="s">
        <v>25</v>
      </c>
      <c r="E176" s="124" t="s">
        <v>138</v>
      </c>
      <c r="F176" s="124" t="s">
        <v>135</v>
      </c>
      <c r="G176" s="124" t="s">
        <v>136</v>
      </c>
      <c r="H176" s="125">
        <v>29684.0</v>
      </c>
      <c r="I176" s="124" t="s">
        <v>21</v>
      </c>
      <c r="J176" s="126"/>
      <c r="K176" s="126"/>
      <c r="L176" s="126"/>
      <c r="M176" s="126"/>
      <c r="N176" s="126"/>
      <c r="O176" s="126"/>
    </row>
    <row r="177" ht="15.75" customHeight="1">
      <c r="A177" s="123">
        <v>2020.0</v>
      </c>
      <c r="B177" s="124" t="s">
        <v>133</v>
      </c>
      <c r="C177" s="124" t="s">
        <v>62</v>
      </c>
      <c r="D177" s="124" t="s">
        <v>26</v>
      </c>
      <c r="E177" s="124" t="s">
        <v>126</v>
      </c>
      <c r="F177" s="124" t="s">
        <v>135</v>
      </c>
      <c r="G177" s="124" t="s">
        <v>136</v>
      </c>
      <c r="H177" s="125">
        <v>928.0</v>
      </c>
      <c r="I177" s="124" t="s">
        <v>20</v>
      </c>
      <c r="J177" s="126"/>
      <c r="K177" s="126"/>
      <c r="L177" s="126"/>
      <c r="M177" s="126"/>
      <c r="N177" s="126"/>
      <c r="O177" s="126"/>
    </row>
    <row r="178" ht="15.75" customHeight="1">
      <c r="A178" s="123">
        <v>2020.0</v>
      </c>
      <c r="B178" s="124" t="s">
        <v>133</v>
      </c>
      <c r="C178" s="124" t="s">
        <v>62</v>
      </c>
      <c r="D178" s="124" t="s">
        <v>25</v>
      </c>
      <c r="E178" s="124" t="s">
        <v>138</v>
      </c>
      <c r="F178" s="124" t="s">
        <v>134</v>
      </c>
      <c r="G178" s="124" t="s">
        <v>134</v>
      </c>
      <c r="H178" s="125">
        <v>11972.0</v>
      </c>
      <c r="I178" s="124" t="s">
        <v>20</v>
      </c>
      <c r="J178" s="126"/>
      <c r="K178" s="126"/>
      <c r="L178" s="126"/>
      <c r="M178" s="126"/>
      <c r="N178" s="126"/>
      <c r="O178" s="126"/>
    </row>
    <row r="179" ht="15.75" customHeight="1">
      <c r="A179" s="123">
        <v>2020.0</v>
      </c>
      <c r="B179" s="124" t="s">
        <v>133</v>
      </c>
      <c r="C179" s="124" t="s">
        <v>62</v>
      </c>
      <c r="D179" s="124" t="s">
        <v>26</v>
      </c>
      <c r="E179" s="124" t="s">
        <v>126</v>
      </c>
      <c r="F179" s="124" t="s">
        <v>134</v>
      </c>
      <c r="G179" s="124" t="s">
        <v>134</v>
      </c>
      <c r="H179" s="125">
        <v>2016.0</v>
      </c>
      <c r="I179" s="124" t="s">
        <v>20</v>
      </c>
      <c r="J179" s="126"/>
      <c r="K179" s="126"/>
      <c r="L179" s="126"/>
      <c r="M179" s="126"/>
      <c r="N179" s="126"/>
      <c r="O179" s="126"/>
    </row>
    <row r="180" ht="15.75" customHeight="1">
      <c r="A180" s="123">
        <v>2020.0</v>
      </c>
      <c r="B180" s="124" t="s">
        <v>133</v>
      </c>
      <c r="C180" s="124" t="s">
        <v>62</v>
      </c>
      <c r="D180" s="124" t="s">
        <v>25</v>
      </c>
      <c r="E180" s="124" t="s">
        <v>138</v>
      </c>
      <c r="F180" s="124" t="s">
        <v>137</v>
      </c>
      <c r="G180" s="124" t="s">
        <v>136</v>
      </c>
      <c r="H180" s="125">
        <v>4336.0</v>
      </c>
      <c r="I180" s="124" t="s">
        <v>20</v>
      </c>
      <c r="J180" s="126"/>
      <c r="K180" s="126"/>
      <c r="L180" s="126"/>
      <c r="M180" s="126"/>
      <c r="N180" s="126"/>
      <c r="O180" s="126"/>
    </row>
    <row r="181" ht="15.75" customHeight="1">
      <c r="A181" s="123">
        <v>2020.0</v>
      </c>
      <c r="B181" s="124" t="s">
        <v>133</v>
      </c>
      <c r="C181" s="124" t="s">
        <v>62</v>
      </c>
      <c r="D181" s="124" t="s">
        <v>26</v>
      </c>
      <c r="E181" s="124" t="s">
        <v>126</v>
      </c>
      <c r="F181" s="124" t="s">
        <v>137</v>
      </c>
      <c r="G181" s="124" t="s">
        <v>136</v>
      </c>
      <c r="H181" s="125">
        <v>210.0</v>
      </c>
      <c r="I181" s="124" t="s">
        <v>20</v>
      </c>
      <c r="J181" s="126"/>
      <c r="K181" s="126"/>
      <c r="L181" s="126"/>
      <c r="M181" s="126"/>
      <c r="N181" s="126"/>
      <c r="O181" s="126"/>
    </row>
    <row r="182" ht="15.75" customHeight="1">
      <c r="A182" s="130">
        <v>2020.0</v>
      </c>
      <c r="B182" s="130" t="s">
        <v>133</v>
      </c>
      <c r="C182" s="130" t="s">
        <v>62</v>
      </c>
      <c r="D182" s="130" t="s">
        <v>25</v>
      </c>
      <c r="E182" s="130" t="s">
        <v>138</v>
      </c>
      <c r="F182" s="130" t="s">
        <v>127</v>
      </c>
      <c r="G182" s="124" t="s">
        <v>128</v>
      </c>
      <c r="H182" s="132">
        <v>17489.0</v>
      </c>
      <c r="I182" s="130" t="s">
        <v>20</v>
      </c>
      <c r="J182" s="126"/>
      <c r="K182" s="126"/>
      <c r="L182" s="126"/>
      <c r="M182" s="126"/>
      <c r="N182" s="126"/>
      <c r="O182" s="126"/>
    </row>
    <row r="183" ht="15.75" customHeight="1">
      <c r="A183" s="130">
        <v>2020.0</v>
      </c>
      <c r="B183" s="130" t="s">
        <v>133</v>
      </c>
      <c r="C183" s="130" t="s">
        <v>62</v>
      </c>
      <c r="D183" s="130" t="s">
        <v>26</v>
      </c>
      <c r="E183" s="130" t="s">
        <v>126</v>
      </c>
      <c r="F183" s="130" t="s">
        <v>127</v>
      </c>
      <c r="G183" s="124" t="s">
        <v>128</v>
      </c>
      <c r="H183" s="132">
        <v>7112.0</v>
      </c>
      <c r="I183" s="130" t="s">
        <v>20</v>
      </c>
      <c r="J183" s="126"/>
      <c r="K183" s="126"/>
      <c r="L183" s="126"/>
      <c r="M183" s="126"/>
      <c r="N183" s="126"/>
      <c r="O183" s="126"/>
    </row>
    <row r="184" ht="15.75" customHeight="1">
      <c r="A184" s="130">
        <v>2020.0</v>
      </c>
      <c r="B184" s="130" t="s">
        <v>133</v>
      </c>
      <c r="C184" s="130" t="s">
        <v>62</v>
      </c>
      <c r="D184" s="130" t="s">
        <v>27</v>
      </c>
      <c r="E184" s="130" t="s">
        <v>138</v>
      </c>
      <c r="F184" s="130" t="s">
        <v>127</v>
      </c>
      <c r="G184" s="124" t="s">
        <v>128</v>
      </c>
      <c r="H184" s="132">
        <v>13025.0</v>
      </c>
      <c r="I184" s="130" t="s">
        <v>20</v>
      </c>
      <c r="J184" s="126"/>
      <c r="K184" s="126"/>
      <c r="L184" s="126"/>
      <c r="M184" s="126"/>
      <c r="N184" s="126"/>
      <c r="O184" s="126"/>
    </row>
    <row r="185" ht="15.75" customHeight="1">
      <c r="A185" s="123">
        <v>2020.0</v>
      </c>
      <c r="B185" s="124" t="s">
        <v>125</v>
      </c>
      <c r="C185" s="124" t="s">
        <v>63</v>
      </c>
      <c r="D185" s="124" t="s">
        <v>25</v>
      </c>
      <c r="E185" s="124" t="s">
        <v>138</v>
      </c>
      <c r="F185" s="124" t="s">
        <v>112</v>
      </c>
      <c r="G185" s="124" t="s">
        <v>128</v>
      </c>
      <c r="H185" s="125">
        <v>3873.0</v>
      </c>
      <c r="I185" s="124" t="s">
        <v>20</v>
      </c>
      <c r="J185" s="126"/>
      <c r="K185" s="126"/>
      <c r="L185" s="126"/>
      <c r="M185" s="126"/>
      <c r="N185" s="126"/>
      <c r="O185" s="126"/>
    </row>
    <row r="186" ht="15.75" customHeight="1">
      <c r="A186" s="123">
        <v>2020.0</v>
      </c>
      <c r="B186" s="124" t="s">
        <v>125</v>
      </c>
      <c r="C186" s="124" t="s">
        <v>63</v>
      </c>
      <c r="D186" s="124" t="s">
        <v>26</v>
      </c>
      <c r="E186" s="124" t="s">
        <v>126</v>
      </c>
      <c r="F186" s="124" t="s">
        <v>112</v>
      </c>
      <c r="G186" s="124" t="s">
        <v>128</v>
      </c>
      <c r="H186" s="125">
        <v>401.0</v>
      </c>
      <c r="I186" s="124" t="s">
        <v>20</v>
      </c>
      <c r="J186" s="126"/>
      <c r="K186" s="126"/>
      <c r="L186" s="126"/>
      <c r="M186" s="126"/>
      <c r="N186" s="126"/>
      <c r="O186" s="126"/>
    </row>
    <row r="187" ht="15.75" customHeight="1">
      <c r="A187" s="123">
        <v>2020.0</v>
      </c>
      <c r="B187" s="124" t="s">
        <v>125</v>
      </c>
      <c r="C187" s="124" t="s">
        <v>63</v>
      </c>
      <c r="D187" s="124" t="s">
        <v>27</v>
      </c>
      <c r="E187" s="124" t="s">
        <v>138</v>
      </c>
      <c r="F187" s="124" t="s">
        <v>112</v>
      </c>
      <c r="G187" s="124" t="s">
        <v>128</v>
      </c>
      <c r="H187" s="125">
        <v>1165.0</v>
      </c>
      <c r="I187" s="124" t="s">
        <v>20</v>
      </c>
      <c r="J187" s="126"/>
      <c r="K187" s="126"/>
      <c r="L187" s="126"/>
      <c r="M187" s="126"/>
      <c r="N187" s="126"/>
      <c r="O187" s="126"/>
    </row>
    <row r="188" ht="15.75" customHeight="1">
      <c r="A188" s="123">
        <v>2020.0</v>
      </c>
      <c r="B188" s="124" t="s">
        <v>125</v>
      </c>
      <c r="C188" s="124" t="s">
        <v>63</v>
      </c>
      <c r="D188" s="124" t="s">
        <v>25</v>
      </c>
      <c r="E188" s="124" t="s">
        <v>138</v>
      </c>
      <c r="F188" s="124" t="s">
        <v>135</v>
      </c>
      <c r="G188" s="124" t="s">
        <v>136</v>
      </c>
      <c r="H188" s="125">
        <v>92.0</v>
      </c>
      <c r="I188" s="124" t="s">
        <v>20</v>
      </c>
      <c r="J188" s="126"/>
      <c r="K188" s="126"/>
      <c r="L188" s="126"/>
      <c r="M188" s="126"/>
      <c r="N188" s="126"/>
      <c r="O188" s="126"/>
    </row>
    <row r="189" ht="15.75" customHeight="1">
      <c r="A189" s="123">
        <v>2020.0</v>
      </c>
      <c r="B189" s="124" t="s">
        <v>125</v>
      </c>
      <c r="C189" s="124" t="s">
        <v>63</v>
      </c>
      <c r="D189" s="124" t="s">
        <v>25</v>
      </c>
      <c r="E189" s="124" t="s">
        <v>138</v>
      </c>
      <c r="F189" s="124" t="s">
        <v>135</v>
      </c>
      <c r="G189" s="124" t="s">
        <v>136</v>
      </c>
      <c r="H189" s="125">
        <v>34154.0</v>
      </c>
      <c r="I189" s="124" t="s">
        <v>21</v>
      </c>
      <c r="J189" s="126"/>
      <c r="K189" s="126"/>
      <c r="L189" s="126"/>
      <c r="M189" s="126"/>
      <c r="N189" s="126"/>
      <c r="O189" s="126"/>
    </row>
    <row r="190" ht="15.75" customHeight="1">
      <c r="A190" s="123">
        <v>2020.0</v>
      </c>
      <c r="B190" s="124" t="s">
        <v>125</v>
      </c>
      <c r="C190" s="124" t="s">
        <v>63</v>
      </c>
      <c r="D190" s="124" t="s">
        <v>26</v>
      </c>
      <c r="E190" s="124" t="s">
        <v>126</v>
      </c>
      <c r="F190" s="124" t="s">
        <v>135</v>
      </c>
      <c r="G190" s="124" t="s">
        <v>136</v>
      </c>
      <c r="H190" s="125">
        <v>2486.0</v>
      </c>
      <c r="I190" s="124" t="s">
        <v>20</v>
      </c>
      <c r="J190" s="126"/>
      <c r="K190" s="126"/>
      <c r="L190" s="126"/>
      <c r="M190" s="126"/>
      <c r="N190" s="126"/>
      <c r="O190" s="126"/>
    </row>
    <row r="191" ht="15.75" customHeight="1">
      <c r="A191" s="123">
        <v>2020.0</v>
      </c>
      <c r="B191" s="124" t="s">
        <v>125</v>
      </c>
      <c r="C191" s="124" t="s">
        <v>63</v>
      </c>
      <c r="D191" s="124" t="s">
        <v>25</v>
      </c>
      <c r="E191" s="124" t="s">
        <v>138</v>
      </c>
      <c r="F191" s="124" t="s">
        <v>134</v>
      </c>
      <c r="G191" s="124" t="s">
        <v>134</v>
      </c>
      <c r="H191" s="125">
        <v>24074.0</v>
      </c>
      <c r="I191" s="124" t="s">
        <v>20</v>
      </c>
      <c r="J191" s="126"/>
      <c r="K191" s="126"/>
      <c r="L191" s="126"/>
      <c r="M191" s="126"/>
      <c r="N191" s="126"/>
      <c r="O191" s="126"/>
    </row>
    <row r="192" ht="15.75" customHeight="1">
      <c r="A192" s="123">
        <v>2020.0</v>
      </c>
      <c r="B192" s="124" t="s">
        <v>125</v>
      </c>
      <c r="C192" s="124" t="s">
        <v>63</v>
      </c>
      <c r="D192" s="124" t="s">
        <v>26</v>
      </c>
      <c r="E192" s="124" t="s">
        <v>126</v>
      </c>
      <c r="F192" s="124" t="s">
        <v>134</v>
      </c>
      <c r="G192" s="124" t="s">
        <v>134</v>
      </c>
      <c r="H192" s="125">
        <v>3232.0</v>
      </c>
      <c r="I192" s="124" t="s">
        <v>20</v>
      </c>
      <c r="J192" s="126"/>
      <c r="K192" s="126"/>
      <c r="L192" s="126"/>
      <c r="M192" s="126"/>
      <c r="N192" s="126"/>
      <c r="O192" s="126"/>
    </row>
    <row r="193" ht="15.75" customHeight="1">
      <c r="A193" s="123">
        <v>2020.0</v>
      </c>
      <c r="B193" s="124" t="s">
        <v>125</v>
      </c>
      <c r="C193" s="124" t="s">
        <v>63</v>
      </c>
      <c r="D193" s="124" t="s">
        <v>25</v>
      </c>
      <c r="E193" s="124" t="s">
        <v>138</v>
      </c>
      <c r="F193" s="124" t="s">
        <v>137</v>
      </c>
      <c r="G193" s="124" t="s">
        <v>136</v>
      </c>
      <c r="H193" s="125">
        <v>7296.0</v>
      </c>
      <c r="I193" s="124" t="s">
        <v>20</v>
      </c>
      <c r="J193" s="126"/>
      <c r="K193" s="126"/>
      <c r="L193" s="126"/>
      <c r="M193" s="126"/>
      <c r="N193" s="126"/>
      <c r="O193" s="126"/>
    </row>
    <row r="194" ht="15.75" customHeight="1">
      <c r="A194" s="123">
        <v>2020.0</v>
      </c>
      <c r="B194" s="124" t="s">
        <v>125</v>
      </c>
      <c r="C194" s="124" t="s">
        <v>63</v>
      </c>
      <c r="D194" s="124" t="s">
        <v>26</v>
      </c>
      <c r="E194" s="124" t="s">
        <v>126</v>
      </c>
      <c r="F194" s="124" t="s">
        <v>137</v>
      </c>
      <c r="G194" s="124" t="s">
        <v>136</v>
      </c>
      <c r="H194" s="125">
        <v>1090.0</v>
      </c>
      <c r="I194" s="124" t="s">
        <v>20</v>
      </c>
      <c r="J194" s="126"/>
      <c r="K194" s="126"/>
      <c r="L194" s="126"/>
      <c r="M194" s="126"/>
      <c r="N194" s="126"/>
      <c r="O194" s="126"/>
    </row>
    <row r="195" ht="15.75" customHeight="1">
      <c r="A195" s="130">
        <v>2020.0</v>
      </c>
      <c r="B195" s="130" t="s">
        <v>125</v>
      </c>
      <c r="C195" s="130" t="s">
        <v>63</v>
      </c>
      <c r="D195" s="130" t="s">
        <v>25</v>
      </c>
      <c r="E195" s="130" t="s">
        <v>138</v>
      </c>
      <c r="F195" s="130" t="s">
        <v>127</v>
      </c>
      <c r="G195" s="130" t="s">
        <v>128</v>
      </c>
      <c r="H195" s="132">
        <v>22511.0</v>
      </c>
      <c r="I195" s="130" t="s">
        <v>20</v>
      </c>
      <c r="J195" s="126"/>
      <c r="K195" s="126"/>
      <c r="L195" s="126"/>
      <c r="M195" s="126"/>
      <c r="N195" s="126"/>
      <c r="O195" s="126"/>
    </row>
    <row r="196" ht="15.75" customHeight="1">
      <c r="A196" s="130">
        <v>2020.0</v>
      </c>
      <c r="B196" s="130" t="s">
        <v>125</v>
      </c>
      <c r="C196" s="130" t="s">
        <v>63</v>
      </c>
      <c r="D196" s="130" t="s">
        <v>26</v>
      </c>
      <c r="E196" s="130" t="s">
        <v>126</v>
      </c>
      <c r="F196" s="130" t="s">
        <v>127</v>
      </c>
      <c r="G196" s="130" t="s">
        <v>128</v>
      </c>
      <c r="H196" s="132">
        <v>8066.0</v>
      </c>
      <c r="I196" s="130" t="s">
        <v>20</v>
      </c>
      <c r="J196" s="126"/>
      <c r="K196" s="126"/>
      <c r="L196" s="126"/>
      <c r="M196" s="126"/>
      <c r="N196" s="126"/>
      <c r="O196" s="126"/>
    </row>
    <row r="197" ht="15.75" customHeight="1">
      <c r="A197" s="130">
        <v>2020.0</v>
      </c>
      <c r="B197" s="130" t="s">
        <v>125</v>
      </c>
      <c r="C197" s="130" t="s">
        <v>63</v>
      </c>
      <c r="D197" s="130" t="s">
        <v>27</v>
      </c>
      <c r="E197" s="130" t="s">
        <v>138</v>
      </c>
      <c r="F197" s="130" t="s">
        <v>127</v>
      </c>
      <c r="G197" s="130" t="s">
        <v>128</v>
      </c>
      <c r="H197" s="132">
        <v>31153.0</v>
      </c>
      <c r="I197" s="130" t="s">
        <v>20</v>
      </c>
      <c r="J197" s="126"/>
      <c r="K197" s="126"/>
      <c r="L197" s="126"/>
      <c r="M197" s="126"/>
      <c r="N197" s="126"/>
      <c r="O197" s="126"/>
    </row>
    <row r="198" ht="15.75" customHeight="1">
      <c r="A198" s="123">
        <v>2020.0</v>
      </c>
      <c r="B198" s="124" t="s">
        <v>129</v>
      </c>
      <c r="C198" s="124" t="s">
        <v>64</v>
      </c>
      <c r="D198" s="124" t="s">
        <v>25</v>
      </c>
      <c r="E198" s="124" t="s">
        <v>138</v>
      </c>
      <c r="F198" s="124" t="s">
        <v>112</v>
      </c>
      <c r="G198" s="124" t="s">
        <v>128</v>
      </c>
      <c r="H198" s="125">
        <v>3388.0</v>
      </c>
      <c r="I198" s="124" t="s">
        <v>20</v>
      </c>
      <c r="J198" s="126"/>
      <c r="K198" s="126"/>
      <c r="L198" s="126"/>
      <c r="M198" s="126"/>
      <c r="N198" s="126"/>
      <c r="O198" s="126"/>
    </row>
    <row r="199" ht="15.75" customHeight="1">
      <c r="A199" s="123">
        <v>2020.0</v>
      </c>
      <c r="B199" s="124" t="s">
        <v>129</v>
      </c>
      <c r="C199" s="124" t="s">
        <v>64</v>
      </c>
      <c r="D199" s="124" t="s">
        <v>26</v>
      </c>
      <c r="E199" s="124" t="s">
        <v>126</v>
      </c>
      <c r="F199" s="124" t="s">
        <v>112</v>
      </c>
      <c r="G199" s="124" t="s">
        <v>128</v>
      </c>
      <c r="H199" s="125">
        <v>590.0</v>
      </c>
      <c r="I199" s="124" t="s">
        <v>20</v>
      </c>
      <c r="J199" s="126"/>
      <c r="K199" s="126"/>
      <c r="L199" s="126"/>
      <c r="M199" s="126"/>
      <c r="N199" s="126"/>
      <c r="O199" s="126"/>
    </row>
    <row r="200" ht="15.75" customHeight="1">
      <c r="A200" s="123">
        <v>2020.0</v>
      </c>
      <c r="B200" s="124" t="s">
        <v>129</v>
      </c>
      <c r="C200" s="124" t="s">
        <v>64</v>
      </c>
      <c r="D200" s="124" t="s">
        <v>27</v>
      </c>
      <c r="E200" s="124" t="s">
        <v>138</v>
      </c>
      <c r="F200" s="124" t="s">
        <v>112</v>
      </c>
      <c r="G200" s="124" t="s">
        <v>128</v>
      </c>
      <c r="H200" s="125">
        <v>1181.0</v>
      </c>
      <c r="I200" s="124" t="s">
        <v>20</v>
      </c>
      <c r="J200" s="126"/>
      <c r="K200" s="126"/>
      <c r="L200" s="126"/>
      <c r="M200" s="126"/>
      <c r="N200" s="126"/>
      <c r="O200" s="126"/>
    </row>
    <row r="201" ht="15.75" customHeight="1">
      <c r="A201" s="123">
        <v>2020.0</v>
      </c>
      <c r="B201" s="124" t="s">
        <v>129</v>
      </c>
      <c r="C201" s="124" t="s">
        <v>64</v>
      </c>
      <c r="D201" s="124" t="s">
        <v>25</v>
      </c>
      <c r="E201" s="124" t="s">
        <v>138</v>
      </c>
      <c r="F201" s="124" t="s">
        <v>135</v>
      </c>
      <c r="G201" s="124" t="s">
        <v>136</v>
      </c>
      <c r="H201" s="125">
        <v>35.0</v>
      </c>
      <c r="I201" s="124" t="s">
        <v>20</v>
      </c>
      <c r="J201" s="126"/>
      <c r="K201" s="126"/>
      <c r="L201" s="126"/>
      <c r="M201" s="126"/>
      <c r="N201" s="126"/>
      <c r="O201" s="126"/>
    </row>
    <row r="202" ht="15.75" customHeight="1">
      <c r="A202" s="123">
        <v>2020.0</v>
      </c>
      <c r="B202" s="124" t="s">
        <v>129</v>
      </c>
      <c r="C202" s="124" t="s">
        <v>64</v>
      </c>
      <c r="D202" s="124" t="s">
        <v>25</v>
      </c>
      <c r="E202" s="124" t="s">
        <v>138</v>
      </c>
      <c r="F202" s="124" t="s">
        <v>135</v>
      </c>
      <c r="G202" s="124" t="s">
        <v>136</v>
      </c>
      <c r="H202" s="125">
        <v>57551.0</v>
      </c>
      <c r="I202" s="124" t="s">
        <v>21</v>
      </c>
      <c r="J202" s="126"/>
      <c r="K202" s="126"/>
      <c r="L202" s="126"/>
      <c r="M202" s="126"/>
      <c r="N202" s="126"/>
      <c r="O202" s="126"/>
    </row>
    <row r="203" ht="15.75" customHeight="1">
      <c r="A203" s="123">
        <v>2020.0</v>
      </c>
      <c r="B203" s="124" t="s">
        <v>129</v>
      </c>
      <c r="C203" s="124" t="s">
        <v>64</v>
      </c>
      <c r="D203" s="124" t="s">
        <v>26</v>
      </c>
      <c r="E203" s="124" t="s">
        <v>126</v>
      </c>
      <c r="F203" s="124" t="s">
        <v>135</v>
      </c>
      <c r="G203" s="124" t="s">
        <v>136</v>
      </c>
      <c r="H203" s="125">
        <v>1927.0</v>
      </c>
      <c r="I203" s="124" t="s">
        <v>20</v>
      </c>
      <c r="J203" s="126"/>
      <c r="K203" s="126"/>
      <c r="L203" s="126"/>
      <c r="M203" s="126"/>
      <c r="N203" s="126"/>
      <c r="O203" s="126"/>
    </row>
    <row r="204" ht="15.75" customHeight="1">
      <c r="A204" s="123">
        <v>2020.0</v>
      </c>
      <c r="B204" s="124" t="s">
        <v>129</v>
      </c>
      <c r="C204" s="124" t="s">
        <v>64</v>
      </c>
      <c r="D204" s="124" t="s">
        <v>25</v>
      </c>
      <c r="E204" s="124" t="s">
        <v>138</v>
      </c>
      <c r="F204" s="124" t="s">
        <v>134</v>
      </c>
      <c r="G204" s="124" t="s">
        <v>134</v>
      </c>
      <c r="H204" s="125">
        <v>24595.0</v>
      </c>
      <c r="I204" s="124" t="s">
        <v>20</v>
      </c>
      <c r="J204" s="126"/>
      <c r="K204" s="126"/>
      <c r="L204" s="126"/>
      <c r="M204" s="126"/>
      <c r="N204" s="126"/>
      <c r="O204" s="126"/>
    </row>
    <row r="205" ht="15.75" customHeight="1">
      <c r="A205" s="123">
        <v>2020.0</v>
      </c>
      <c r="B205" s="124" t="s">
        <v>129</v>
      </c>
      <c r="C205" s="124" t="s">
        <v>64</v>
      </c>
      <c r="D205" s="124" t="s">
        <v>25</v>
      </c>
      <c r="E205" s="124" t="s">
        <v>138</v>
      </c>
      <c r="F205" s="124" t="s">
        <v>134</v>
      </c>
      <c r="G205" s="124" t="s">
        <v>134</v>
      </c>
      <c r="H205" s="125">
        <v>6100.0</v>
      </c>
      <c r="I205" s="124" t="s">
        <v>21</v>
      </c>
      <c r="J205" s="126"/>
      <c r="K205" s="126"/>
      <c r="L205" s="126"/>
      <c r="M205" s="126"/>
      <c r="N205" s="126"/>
      <c r="O205" s="126"/>
    </row>
    <row r="206" ht="15.75" customHeight="1">
      <c r="A206" s="123">
        <v>2020.0</v>
      </c>
      <c r="B206" s="124" t="s">
        <v>129</v>
      </c>
      <c r="C206" s="124" t="s">
        <v>64</v>
      </c>
      <c r="D206" s="124" t="s">
        <v>26</v>
      </c>
      <c r="E206" s="124" t="s">
        <v>126</v>
      </c>
      <c r="F206" s="124" t="s">
        <v>134</v>
      </c>
      <c r="G206" s="124" t="s">
        <v>134</v>
      </c>
      <c r="H206" s="125">
        <v>3415.0</v>
      </c>
      <c r="I206" s="124" t="s">
        <v>20</v>
      </c>
      <c r="J206" s="126"/>
      <c r="K206" s="126"/>
      <c r="L206" s="126"/>
      <c r="M206" s="126"/>
      <c r="N206" s="126"/>
      <c r="O206" s="126"/>
    </row>
    <row r="207" ht="15.75" customHeight="1">
      <c r="A207" s="123">
        <v>2020.0</v>
      </c>
      <c r="B207" s="124" t="s">
        <v>129</v>
      </c>
      <c r="C207" s="124" t="s">
        <v>64</v>
      </c>
      <c r="D207" s="124" t="s">
        <v>25</v>
      </c>
      <c r="E207" s="124" t="s">
        <v>138</v>
      </c>
      <c r="F207" s="124" t="s">
        <v>137</v>
      </c>
      <c r="G207" s="124" t="s">
        <v>136</v>
      </c>
      <c r="H207" s="125">
        <v>5390.0</v>
      </c>
      <c r="I207" s="124" t="s">
        <v>20</v>
      </c>
      <c r="J207" s="126"/>
      <c r="K207" s="126"/>
      <c r="L207" s="126"/>
      <c r="M207" s="126"/>
      <c r="N207" s="126"/>
      <c r="O207" s="126"/>
    </row>
    <row r="208" ht="15.75" customHeight="1">
      <c r="A208" s="123">
        <v>2020.0</v>
      </c>
      <c r="B208" s="124" t="s">
        <v>129</v>
      </c>
      <c r="C208" s="124" t="s">
        <v>64</v>
      </c>
      <c r="D208" s="124" t="s">
        <v>25</v>
      </c>
      <c r="E208" s="124" t="s">
        <v>138</v>
      </c>
      <c r="F208" s="124" t="s">
        <v>137</v>
      </c>
      <c r="G208" s="124" t="s">
        <v>136</v>
      </c>
      <c r="H208" s="125"/>
      <c r="I208" s="124" t="s">
        <v>21</v>
      </c>
      <c r="J208" s="126"/>
      <c r="K208" s="126"/>
      <c r="L208" s="126"/>
      <c r="M208" s="126"/>
      <c r="N208" s="126"/>
      <c r="O208" s="126"/>
    </row>
    <row r="209" ht="15.75" customHeight="1">
      <c r="A209" s="130">
        <v>2020.0</v>
      </c>
      <c r="B209" s="130" t="s">
        <v>129</v>
      </c>
      <c r="C209" s="130" t="s">
        <v>64</v>
      </c>
      <c r="D209" s="130" t="s">
        <v>26</v>
      </c>
      <c r="E209" s="130" t="s">
        <v>126</v>
      </c>
      <c r="F209" s="130" t="s">
        <v>137</v>
      </c>
      <c r="G209" s="130" t="s">
        <v>136</v>
      </c>
      <c r="H209" s="132">
        <v>908.0</v>
      </c>
      <c r="I209" s="130" t="s">
        <v>20</v>
      </c>
      <c r="J209" s="126"/>
      <c r="K209" s="126"/>
      <c r="L209" s="126"/>
      <c r="M209" s="126"/>
      <c r="N209" s="126"/>
      <c r="O209" s="126"/>
    </row>
    <row r="210" ht="15.75" customHeight="1">
      <c r="A210" s="130">
        <v>2020.0</v>
      </c>
      <c r="B210" s="130" t="s">
        <v>129</v>
      </c>
      <c r="C210" s="130" t="s">
        <v>64</v>
      </c>
      <c r="D210" s="130" t="s">
        <v>25</v>
      </c>
      <c r="E210" s="130" t="s">
        <v>138</v>
      </c>
      <c r="F210" s="130" t="s">
        <v>127</v>
      </c>
      <c r="G210" s="130" t="s">
        <v>128</v>
      </c>
      <c r="H210" s="132">
        <v>26091.0</v>
      </c>
      <c r="I210" s="130" t="s">
        <v>20</v>
      </c>
      <c r="J210" s="126"/>
      <c r="K210" s="126"/>
      <c r="L210" s="126"/>
      <c r="M210" s="126"/>
      <c r="N210" s="126"/>
      <c r="O210" s="126"/>
    </row>
    <row r="211" ht="15.75" customHeight="1">
      <c r="A211" s="130">
        <v>2020.0</v>
      </c>
      <c r="B211" s="130" t="s">
        <v>129</v>
      </c>
      <c r="C211" s="130" t="s">
        <v>64</v>
      </c>
      <c r="D211" s="130" t="s">
        <v>26</v>
      </c>
      <c r="E211" s="130" t="s">
        <v>126</v>
      </c>
      <c r="F211" s="130" t="s">
        <v>127</v>
      </c>
      <c r="G211" s="130" t="s">
        <v>128</v>
      </c>
      <c r="H211" s="132">
        <v>12126.0</v>
      </c>
      <c r="I211" s="130" t="s">
        <v>20</v>
      </c>
      <c r="J211" s="126"/>
      <c r="K211" s="126"/>
      <c r="L211" s="126"/>
      <c r="M211" s="126"/>
      <c r="N211" s="126"/>
      <c r="O211" s="126"/>
    </row>
    <row r="212" ht="15.75" customHeight="1">
      <c r="A212" s="123">
        <v>2020.0</v>
      </c>
      <c r="B212" s="124" t="s">
        <v>129</v>
      </c>
      <c r="C212" s="124" t="s">
        <v>64</v>
      </c>
      <c r="D212" s="124" t="s">
        <v>27</v>
      </c>
      <c r="E212" s="124" t="s">
        <v>138</v>
      </c>
      <c r="F212" s="124" t="s">
        <v>127</v>
      </c>
      <c r="G212" s="124" t="s">
        <v>128</v>
      </c>
      <c r="H212" s="125">
        <v>37370.0</v>
      </c>
      <c r="I212" s="124" t="s">
        <v>20</v>
      </c>
      <c r="J212" s="126"/>
      <c r="K212" s="126"/>
      <c r="L212" s="126"/>
      <c r="M212" s="126"/>
      <c r="N212" s="126"/>
      <c r="O212" s="126"/>
    </row>
    <row r="213" ht="15.75" customHeight="1">
      <c r="A213" s="123">
        <v>2021.0</v>
      </c>
      <c r="B213" s="124" t="s">
        <v>132</v>
      </c>
      <c r="C213" s="124" t="s">
        <v>65</v>
      </c>
      <c r="D213" s="124" t="s">
        <v>25</v>
      </c>
      <c r="E213" s="124" t="s">
        <v>138</v>
      </c>
      <c r="F213" s="124" t="s">
        <v>112</v>
      </c>
      <c r="G213" s="124" t="s">
        <v>128</v>
      </c>
      <c r="H213" s="125">
        <v>2904.0</v>
      </c>
      <c r="I213" s="124" t="s">
        <v>20</v>
      </c>
      <c r="J213" s="126"/>
      <c r="K213" s="126"/>
      <c r="L213" s="126"/>
      <c r="M213" s="126"/>
      <c r="N213" s="126"/>
      <c r="O213" s="126"/>
    </row>
    <row r="214" ht="15.75" customHeight="1">
      <c r="A214" s="123">
        <v>2021.0</v>
      </c>
      <c r="B214" s="124" t="s">
        <v>132</v>
      </c>
      <c r="C214" s="124" t="s">
        <v>65</v>
      </c>
      <c r="D214" s="124" t="s">
        <v>26</v>
      </c>
      <c r="E214" s="124" t="s">
        <v>126</v>
      </c>
      <c r="F214" s="124" t="s">
        <v>112</v>
      </c>
      <c r="G214" s="124" t="s">
        <v>128</v>
      </c>
      <c r="H214" s="125">
        <v>70.0</v>
      </c>
      <c r="I214" s="124" t="s">
        <v>20</v>
      </c>
      <c r="J214" s="126"/>
      <c r="K214" s="126"/>
      <c r="L214" s="126"/>
      <c r="M214" s="126"/>
      <c r="N214" s="126"/>
      <c r="O214" s="126"/>
    </row>
    <row r="215" ht="15.75" customHeight="1">
      <c r="A215" s="123">
        <v>2021.0</v>
      </c>
      <c r="B215" s="124" t="s">
        <v>132</v>
      </c>
      <c r="C215" s="124" t="s">
        <v>65</v>
      </c>
      <c r="D215" s="124" t="s">
        <v>27</v>
      </c>
      <c r="E215" s="124" t="s">
        <v>138</v>
      </c>
      <c r="F215" s="124" t="s">
        <v>112</v>
      </c>
      <c r="G215" s="124" t="s">
        <v>128</v>
      </c>
      <c r="H215" s="125">
        <v>2608.0</v>
      </c>
      <c r="I215" s="124" t="s">
        <v>20</v>
      </c>
      <c r="J215" s="126"/>
      <c r="K215" s="126"/>
      <c r="L215" s="126"/>
      <c r="M215" s="126"/>
      <c r="N215" s="126"/>
      <c r="O215" s="126"/>
    </row>
    <row r="216" ht="15.75" customHeight="1">
      <c r="A216" s="123">
        <v>2021.0</v>
      </c>
      <c r="B216" s="124" t="s">
        <v>132</v>
      </c>
      <c r="C216" s="124" t="s">
        <v>65</v>
      </c>
      <c r="D216" s="124" t="s">
        <v>25</v>
      </c>
      <c r="E216" s="124" t="s">
        <v>138</v>
      </c>
      <c r="F216" s="124" t="s">
        <v>135</v>
      </c>
      <c r="G216" s="124" t="s">
        <v>136</v>
      </c>
      <c r="H216" s="125">
        <v>52858.0</v>
      </c>
      <c r="I216" s="124" t="s">
        <v>21</v>
      </c>
      <c r="J216" s="126"/>
      <c r="K216" s="126"/>
      <c r="L216" s="126"/>
      <c r="M216" s="126"/>
      <c r="N216" s="126"/>
      <c r="O216" s="126"/>
    </row>
    <row r="217" ht="15.75" customHeight="1">
      <c r="A217" s="123">
        <v>2021.0</v>
      </c>
      <c r="B217" s="124" t="s">
        <v>132</v>
      </c>
      <c r="C217" s="124" t="s">
        <v>65</v>
      </c>
      <c r="D217" s="124" t="s">
        <v>26</v>
      </c>
      <c r="E217" s="124" t="s">
        <v>126</v>
      </c>
      <c r="F217" s="124" t="s">
        <v>135</v>
      </c>
      <c r="G217" s="124" t="s">
        <v>136</v>
      </c>
      <c r="H217" s="125">
        <v>431.0</v>
      </c>
      <c r="I217" s="124" t="s">
        <v>20</v>
      </c>
      <c r="J217" s="126"/>
      <c r="K217" s="126"/>
      <c r="L217" s="126"/>
      <c r="M217" s="126"/>
      <c r="N217" s="126"/>
      <c r="O217" s="126"/>
    </row>
    <row r="218" ht="15.75" customHeight="1">
      <c r="A218" s="123">
        <v>2021.0</v>
      </c>
      <c r="B218" s="124" t="s">
        <v>132</v>
      </c>
      <c r="C218" s="124" t="s">
        <v>65</v>
      </c>
      <c r="D218" s="124" t="s">
        <v>27</v>
      </c>
      <c r="E218" s="124" t="s">
        <v>138</v>
      </c>
      <c r="F218" s="124" t="s">
        <v>135</v>
      </c>
      <c r="G218" s="124" t="s">
        <v>136</v>
      </c>
      <c r="H218" s="125">
        <v>16422.0</v>
      </c>
      <c r="I218" s="124" t="s">
        <v>21</v>
      </c>
      <c r="J218" s="126"/>
      <c r="K218" s="126"/>
      <c r="L218" s="126"/>
      <c r="M218" s="126"/>
      <c r="N218" s="126"/>
      <c r="O218" s="126"/>
    </row>
    <row r="219" ht="15.75" customHeight="1">
      <c r="A219" s="123">
        <v>2021.0</v>
      </c>
      <c r="B219" s="124" t="s">
        <v>132</v>
      </c>
      <c r="C219" s="124" t="s">
        <v>65</v>
      </c>
      <c r="D219" s="124" t="s">
        <v>25</v>
      </c>
      <c r="E219" s="124" t="s">
        <v>138</v>
      </c>
      <c r="F219" s="124" t="s">
        <v>134</v>
      </c>
      <c r="G219" s="124" t="s">
        <v>134</v>
      </c>
      <c r="H219" s="125">
        <v>23400.0</v>
      </c>
      <c r="I219" s="124" t="s">
        <v>20</v>
      </c>
      <c r="J219" s="126"/>
      <c r="K219" s="126"/>
      <c r="L219" s="126"/>
      <c r="M219" s="126"/>
      <c r="N219" s="126"/>
      <c r="O219" s="126"/>
    </row>
    <row r="220" ht="15.75" customHeight="1">
      <c r="A220" s="123">
        <v>2021.0</v>
      </c>
      <c r="B220" s="124" t="s">
        <v>132</v>
      </c>
      <c r="C220" s="124" t="s">
        <v>65</v>
      </c>
      <c r="D220" s="124" t="s">
        <v>25</v>
      </c>
      <c r="E220" s="124" t="s">
        <v>138</v>
      </c>
      <c r="F220" s="124" t="s">
        <v>134</v>
      </c>
      <c r="G220" s="124" t="s">
        <v>134</v>
      </c>
      <c r="H220" s="125">
        <v>7846.0</v>
      </c>
      <c r="I220" s="124" t="s">
        <v>21</v>
      </c>
      <c r="J220" s="126"/>
      <c r="K220" s="126"/>
      <c r="L220" s="126"/>
      <c r="M220" s="126"/>
      <c r="N220" s="126"/>
      <c r="O220" s="126"/>
    </row>
    <row r="221" ht="15.75" customHeight="1">
      <c r="A221" s="123">
        <v>2021.0</v>
      </c>
      <c r="B221" s="124" t="s">
        <v>132</v>
      </c>
      <c r="C221" s="124" t="s">
        <v>65</v>
      </c>
      <c r="D221" s="124" t="s">
        <v>26</v>
      </c>
      <c r="E221" s="124" t="s">
        <v>126</v>
      </c>
      <c r="F221" s="124" t="s">
        <v>134</v>
      </c>
      <c r="G221" s="124" t="s">
        <v>134</v>
      </c>
      <c r="H221" s="125">
        <v>284.0</v>
      </c>
      <c r="I221" s="124" t="s">
        <v>20</v>
      </c>
      <c r="J221" s="126"/>
      <c r="K221" s="126"/>
      <c r="L221" s="126"/>
      <c r="M221" s="126"/>
      <c r="N221" s="126"/>
      <c r="O221" s="126"/>
    </row>
    <row r="222" ht="15.75" customHeight="1">
      <c r="A222" s="123">
        <v>2021.0</v>
      </c>
      <c r="B222" s="124" t="s">
        <v>132</v>
      </c>
      <c r="C222" s="124" t="s">
        <v>65</v>
      </c>
      <c r="D222" s="124" t="s">
        <v>25</v>
      </c>
      <c r="E222" s="124" t="s">
        <v>138</v>
      </c>
      <c r="F222" s="124" t="s">
        <v>137</v>
      </c>
      <c r="G222" s="124" t="s">
        <v>136</v>
      </c>
      <c r="H222" s="125">
        <v>5370.0</v>
      </c>
      <c r="I222" s="124" t="s">
        <v>20</v>
      </c>
      <c r="J222" s="126"/>
      <c r="K222" s="126"/>
      <c r="L222" s="126"/>
      <c r="M222" s="126"/>
      <c r="N222" s="126"/>
      <c r="O222" s="126"/>
    </row>
    <row r="223" ht="15.75" customHeight="1">
      <c r="A223" s="123">
        <v>2021.0</v>
      </c>
      <c r="B223" s="124" t="s">
        <v>132</v>
      </c>
      <c r="C223" s="124" t="s">
        <v>65</v>
      </c>
      <c r="D223" s="124" t="s">
        <v>25</v>
      </c>
      <c r="E223" s="124" t="s">
        <v>138</v>
      </c>
      <c r="F223" s="124" t="s">
        <v>137</v>
      </c>
      <c r="G223" s="124" t="s">
        <v>136</v>
      </c>
      <c r="H223" s="125">
        <v>3745.0</v>
      </c>
      <c r="I223" s="124" t="s">
        <v>21</v>
      </c>
      <c r="J223" s="126"/>
      <c r="K223" s="126"/>
      <c r="L223" s="126"/>
      <c r="M223" s="126"/>
      <c r="N223" s="126"/>
      <c r="O223" s="126"/>
    </row>
    <row r="224" ht="15.75" customHeight="1">
      <c r="A224" s="123">
        <v>2021.0</v>
      </c>
      <c r="B224" s="124" t="s">
        <v>132</v>
      </c>
      <c r="C224" s="124" t="s">
        <v>65</v>
      </c>
      <c r="D224" s="124" t="s">
        <v>26</v>
      </c>
      <c r="E224" s="124" t="s">
        <v>126</v>
      </c>
      <c r="F224" s="124" t="s">
        <v>137</v>
      </c>
      <c r="G224" s="124" t="s">
        <v>136</v>
      </c>
      <c r="H224" s="125">
        <v>88.0</v>
      </c>
      <c r="I224" s="124" t="s">
        <v>20</v>
      </c>
      <c r="J224" s="126"/>
      <c r="K224" s="126"/>
      <c r="L224" s="126"/>
      <c r="M224" s="126"/>
      <c r="N224" s="126"/>
      <c r="O224" s="126"/>
    </row>
    <row r="225" ht="15.75" customHeight="1">
      <c r="A225" s="130">
        <v>2021.0</v>
      </c>
      <c r="B225" s="130" t="s">
        <v>132</v>
      </c>
      <c r="C225" s="130" t="s">
        <v>65</v>
      </c>
      <c r="D225" s="130" t="s">
        <v>27</v>
      </c>
      <c r="E225" s="130" t="s">
        <v>138</v>
      </c>
      <c r="F225" s="130" t="s">
        <v>137</v>
      </c>
      <c r="G225" s="130" t="s">
        <v>136</v>
      </c>
      <c r="H225" s="132">
        <v>20.0</v>
      </c>
      <c r="I225" s="130" t="s">
        <v>21</v>
      </c>
      <c r="J225" s="126"/>
      <c r="K225" s="126"/>
      <c r="L225" s="126"/>
      <c r="M225" s="126"/>
      <c r="N225" s="126"/>
      <c r="O225" s="126"/>
    </row>
    <row r="226" ht="15.75" customHeight="1">
      <c r="A226" s="130">
        <v>2021.0</v>
      </c>
      <c r="B226" s="130" t="s">
        <v>132</v>
      </c>
      <c r="C226" s="130" t="s">
        <v>65</v>
      </c>
      <c r="D226" s="130" t="s">
        <v>25</v>
      </c>
      <c r="E226" s="130" t="s">
        <v>138</v>
      </c>
      <c r="F226" s="130" t="s">
        <v>127</v>
      </c>
      <c r="G226" s="130" t="s">
        <v>128</v>
      </c>
      <c r="H226" s="132">
        <v>25177.0</v>
      </c>
      <c r="I226" s="130" t="s">
        <v>20</v>
      </c>
      <c r="J226" s="126"/>
      <c r="K226" s="126"/>
      <c r="L226" s="126"/>
      <c r="M226" s="126"/>
      <c r="N226" s="126"/>
      <c r="O226" s="126"/>
    </row>
    <row r="227" ht="15.75" customHeight="1">
      <c r="A227" s="130">
        <v>2021.0</v>
      </c>
      <c r="B227" s="130" t="s">
        <v>132</v>
      </c>
      <c r="C227" s="130" t="s">
        <v>65</v>
      </c>
      <c r="D227" s="130" t="s">
        <v>26</v>
      </c>
      <c r="E227" s="130" t="s">
        <v>126</v>
      </c>
      <c r="F227" s="130" t="s">
        <v>127</v>
      </c>
      <c r="G227" s="130" t="s">
        <v>128</v>
      </c>
      <c r="H227" s="132">
        <v>1157.0</v>
      </c>
      <c r="I227" s="130" t="s">
        <v>20</v>
      </c>
      <c r="J227" s="126"/>
      <c r="K227" s="126"/>
      <c r="L227" s="126"/>
      <c r="M227" s="126"/>
      <c r="N227" s="126"/>
      <c r="O227" s="126"/>
    </row>
    <row r="228" ht="15.75" customHeight="1">
      <c r="A228" s="123">
        <v>2021.0</v>
      </c>
      <c r="B228" s="124" t="s">
        <v>132</v>
      </c>
      <c r="C228" s="124" t="s">
        <v>65</v>
      </c>
      <c r="D228" s="124" t="s">
        <v>27</v>
      </c>
      <c r="E228" s="124" t="s">
        <v>138</v>
      </c>
      <c r="F228" s="124" t="s">
        <v>127</v>
      </c>
      <c r="G228" s="124" t="s">
        <v>128</v>
      </c>
      <c r="H228" s="125">
        <v>42497.0</v>
      </c>
      <c r="I228" s="124" t="s">
        <v>20</v>
      </c>
      <c r="J228" s="126"/>
      <c r="K228" s="126"/>
      <c r="L228" s="126"/>
      <c r="M228" s="126"/>
      <c r="N228" s="126"/>
      <c r="O228" s="126"/>
    </row>
    <row r="229" ht="15.75" customHeight="1">
      <c r="A229" s="123">
        <v>2021.0</v>
      </c>
      <c r="B229" s="124" t="s">
        <v>133</v>
      </c>
      <c r="C229" s="124" t="s">
        <v>66</v>
      </c>
      <c r="D229" s="124" t="s">
        <v>25</v>
      </c>
      <c r="E229" s="124" t="s">
        <v>138</v>
      </c>
      <c r="F229" s="124" t="s">
        <v>112</v>
      </c>
      <c r="G229" s="124" t="s">
        <v>128</v>
      </c>
      <c r="H229" s="125">
        <v>4218.0</v>
      </c>
      <c r="I229" s="124" t="s">
        <v>20</v>
      </c>
      <c r="J229" s="126"/>
      <c r="K229" s="126"/>
      <c r="L229" s="126"/>
      <c r="M229" s="126"/>
      <c r="N229" s="126"/>
      <c r="O229" s="126"/>
    </row>
    <row r="230" ht="15.75" customHeight="1">
      <c r="A230" s="123">
        <v>2021.0</v>
      </c>
      <c r="B230" s="124" t="s">
        <v>133</v>
      </c>
      <c r="C230" s="124" t="s">
        <v>66</v>
      </c>
      <c r="D230" s="124" t="s">
        <v>26</v>
      </c>
      <c r="E230" s="124" t="s">
        <v>126</v>
      </c>
      <c r="F230" s="124" t="s">
        <v>112</v>
      </c>
      <c r="G230" s="124" t="s">
        <v>128</v>
      </c>
      <c r="H230" s="125">
        <v>0.0</v>
      </c>
      <c r="I230" s="124" t="s">
        <v>20</v>
      </c>
      <c r="J230" s="126"/>
      <c r="K230" s="126"/>
      <c r="L230" s="126"/>
      <c r="M230" s="126"/>
      <c r="N230" s="126"/>
      <c r="O230" s="126"/>
    </row>
    <row r="231" ht="15.75" customHeight="1">
      <c r="A231" s="123">
        <v>2021.0</v>
      </c>
      <c r="B231" s="124" t="s">
        <v>133</v>
      </c>
      <c r="C231" s="124" t="s">
        <v>66</v>
      </c>
      <c r="D231" s="124" t="s">
        <v>27</v>
      </c>
      <c r="E231" s="124" t="s">
        <v>138</v>
      </c>
      <c r="F231" s="124" t="s">
        <v>112</v>
      </c>
      <c r="G231" s="124" t="s">
        <v>128</v>
      </c>
      <c r="H231" s="125">
        <v>2304.0</v>
      </c>
      <c r="I231" s="124" t="s">
        <v>20</v>
      </c>
      <c r="J231" s="126"/>
      <c r="K231" s="126"/>
      <c r="L231" s="126"/>
      <c r="M231" s="126"/>
      <c r="N231" s="126"/>
      <c r="O231" s="126"/>
    </row>
    <row r="232" ht="15.75" customHeight="1">
      <c r="A232" s="123">
        <v>2021.0</v>
      </c>
      <c r="B232" s="124" t="s">
        <v>133</v>
      </c>
      <c r="C232" s="124" t="s">
        <v>66</v>
      </c>
      <c r="D232" s="124" t="s">
        <v>25</v>
      </c>
      <c r="E232" s="124" t="s">
        <v>138</v>
      </c>
      <c r="F232" s="124" t="s">
        <v>135</v>
      </c>
      <c r="G232" s="124" t="s">
        <v>136</v>
      </c>
      <c r="H232" s="125">
        <v>31987.0</v>
      </c>
      <c r="I232" s="124" t="s">
        <v>21</v>
      </c>
      <c r="J232" s="126"/>
      <c r="K232" s="126"/>
      <c r="L232" s="126"/>
      <c r="M232" s="126"/>
      <c r="N232" s="126"/>
      <c r="O232" s="126"/>
    </row>
    <row r="233" ht="15.75" customHeight="1">
      <c r="A233" s="123">
        <v>2021.0</v>
      </c>
      <c r="B233" s="124" t="s">
        <v>133</v>
      </c>
      <c r="C233" s="124" t="s">
        <v>66</v>
      </c>
      <c r="D233" s="124" t="s">
        <v>26</v>
      </c>
      <c r="E233" s="124" t="s">
        <v>126</v>
      </c>
      <c r="F233" s="124" t="s">
        <v>135</v>
      </c>
      <c r="G233" s="124" t="s">
        <v>136</v>
      </c>
      <c r="H233" s="125">
        <v>55.0</v>
      </c>
      <c r="I233" s="124" t="s">
        <v>20</v>
      </c>
      <c r="J233" s="126"/>
      <c r="K233" s="126"/>
      <c r="L233" s="126"/>
      <c r="M233" s="126"/>
      <c r="N233" s="126"/>
      <c r="O233" s="126"/>
    </row>
    <row r="234" ht="15.75" customHeight="1">
      <c r="A234" s="123">
        <v>2021.0</v>
      </c>
      <c r="B234" s="124" t="s">
        <v>133</v>
      </c>
      <c r="C234" s="124" t="s">
        <v>66</v>
      </c>
      <c r="D234" s="124" t="s">
        <v>27</v>
      </c>
      <c r="E234" s="124" t="s">
        <v>138</v>
      </c>
      <c r="F234" s="124" t="s">
        <v>135</v>
      </c>
      <c r="G234" s="124" t="s">
        <v>136</v>
      </c>
      <c r="H234" s="125">
        <v>29758.0</v>
      </c>
      <c r="I234" s="124" t="s">
        <v>21</v>
      </c>
      <c r="J234" s="126"/>
      <c r="K234" s="126"/>
      <c r="L234" s="126"/>
      <c r="M234" s="126"/>
      <c r="N234" s="126"/>
      <c r="O234" s="126"/>
    </row>
    <row r="235" ht="15.75" customHeight="1">
      <c r="A235" s="123">
        <v>2021.0</v>
      </c>
      <c r="B235" s="124" t="s">
        <v>133</v>
      </c>
      <c r="C235" s="124" t="s">
        <v>66</v>
      </c>
      <c r="D235" s="124" t="s">
        <v>25</v>
      </c>
      <c r="E235" s="124" t="s">
        <v>138</v>
      </c>
      <c r="F235" s="124" t="s">
        <v>134</v>
      </c>
      <c r="G235" s="124" t="s">
        <v>134</v>
      </c>
      <c r="H235" s="125">
        <v>15894.0</v>
      </c>
      <c r="I235" s="124" t="s">
        <v>20</v>
      </c>
      <c r="J235" s="126"/>
      <c r="K235" s="126"/>
      <c r="L235" s="126"/>
      <c r="M235" s="126"/>
      <c r="N235" s="126"/>
      <c r="O235" s="126"/>
    </row>
    <row r="236" ht="15.75" customHeight="1">
      <c r="A236" s="123">
        <v>2021.0</v>
      </c>
      <c r="B236" s="124" t="s">
        <v>133</v>
      </c>
      <c r="C236" s="124" t="s">
        <v>66</v>
      </c>
      <c r="D236" s="124" t="s">
        <v>25</v>
      </c>
      <c r="E236" s="124" t="s">
        <v>138</v>
      </c>
      <c r="F236" s="124" t="s">
        <v>134</v>
      </c>
      <c r="G236" s="124" t="s">
        <v>134</v>
      </c>
      <c r="H236" s="125">
        <v>20571.0</v>
      </c>
      <c r="I236" s="124" t="s">
        <v>21</v>
      </c>
      <c r="J236" s="126"/>
      <c r="K236" s="126"/>
      <c r="L236" s="126"/>
      <c r="M236" s="126"/>
      <c r="N236" s="126"/>
      <c r="O236" s="126"/>
    </row>
    <row r="237" ht="15.75" customHeight="1">
      <c r="A237" s="123">
        <v>2021.0</v>
      </c>
      <c r="B237" s="124" t="s">
        <v>133</v>
      </c>
      <c r="C237" s="124" t="s">
        <v>66</v>
      </c>
      <c r="D237" s="124" t="s">
        <v>26</v>
      </c>
      <c r="E237" s="124" t="s">
        <v>126</v>
      </c>
      <c r="F237" s="124" t="s">
        <v>134</v>
      </c>
      <c r="G237" s="124" t="s">
        <v>134</v>
      </c>
      <c r="H237" s="125">
        <v>15.0</v>
      </c>
      <c r="I237" s="124" t="s">
        <v>20</v>
      </c>
      <c r="J237" s="126"/>
      <c r="K237" s="126"/>
      <c r="L237" s="126"/>
      <c r="M237" s="126"/>
      <c r="N237" s="126"/>
      <c r="O237" s="126"/>
    </row>
    <row r="238" ht="15.75" customHeight="1">
      <c r="A238" s="123">
        <v>2021.0</v>
      </c>
      <c r="B238" s="124" t="s">
        <v>133</v>
      </c>
      <c r="C238" s="124" t="s">
        <v>66</v>
      </c>
      <c r="D238" s="124" t="s">
        <v>25</v>
      </c>
      <c r="E238" s="124" t="s">
        <v>138</v>
      </c>
      <c r="F238" s="124" t="s">
        <v>137</v>
      </c>
      <c r="G238" s="124" t="s">
        <v>136</v>
      </c>
      <c r="H238" s="125">
        <v>6078.0</v>
      </c>
      <c r="I238" s="124" t="s">
        <v>20</v>
      </c>
      <c r="J238" s="126"/>
      <c r="K238" s="126"/>
      <c r="L238" s="126"/>
      <c r="M238" s="126"/>
      <c r="N238" s="126"/>
      <c r="O238" s="126"/>
    </row>
    <row r="239" ht="15.75" customHeight="1">
      <c r="A239" s="123">
        <v>2021.0</v>
      </c>
      <c r="B239" s="124" t="s">
        <v>133</v>
      </c>
      <c r="C239" s="124" t="s">
        <v>66</v>
      </c>
      <c r="D239" s="124" t="s">
        <v>25</v>
      </c>
      <c r="E239" s="124" t="s">
        <v>138</v>
      </c>
      <c r="F239" s="124" t="s">
        <v>137</v>
      </c>
      <c r="G239" s="124" t="s">
        <v>136</v>
      </c>
      <c r="H239" s="125">
        <v>7877.0</v>
      </c>
      <c r="I239" s="124" t="s">
        <v>21</v>
      </c>
      <c r="J239" s="126"/>
      <c r="K239" s="126"/>
      <c r="L239" s="126"/>
      <c r="M239" s="126"/>
      <c r="N239" s="126"/>
      <c r="O239" s="126"/>
    </row>
    <row r="240" ht="15.75" customHeight="1">
      <c r="A240" s="123">
        <v>2021.0</v>
      </c>
      <c r="B240" s="124" t="s">
        <v>133</v>
      </c>
      <c r="C240" s="124" t="s">
        <v>66</v>
      </c>
      <c r="D240" s="124" t="s">
        <v>26</v>
      </c>
      <c r="E240" s="124" t="s">
        <v>126</v>
      </c>
      <c r="F240" s="124" t="s">
        <v>137</v>
      </c>
      <c r="G240" s="124" t="s">
        <v>136</v>
      </c>
      <c r="H240" s="125">
        <v>15.0</v>
      </c>
      <c r="I240" s="124" t="s">
        <v>20</v>
      </c>
      <c r="J240" s="126"/>
      <c r="K240" s="126"/>
      <c r="L240" s="126"/>
      <c r="M240" s="126"/>
      <c r="N240" s="126"/>
      <c r="O240" s="126"/>
    </row>
    <row r="241" ht="15.75" customHeight="1">
      <c r="A241" s="123">
        <v>2021.0</v>
      </c>
      <c r="B241" s="124" t="s">
        <v>133</v>
      </c>
      <c r="C241" s="124" t="s">
        <v>66</v>
      </c>
      <c r="D241" s="124" t="s">
        <v>27</v>
      </c>
      <c r="E241" s="124" t="s">
        <v>138</v>
      </c>
      <c r="F241" s="124" t="s">
        <v>137</v>
      </c>
      <c r="G241" s="124" t="s">
        <v>136</v>
      </c>
      <c r="H241" s="125">
        <v>5316.0</v>
      </c>
      <c r="I241" s="124" t="s">
        <v>20</v>
      </c>
      <c r="J241" s="126"/>
      <c r="K241" s="126"/>
      <c r="L241" s="126"/>
      <c r="M241" s="126"/>
      <c r="N241" s="126"/>
      <c r="O241" s="126"/>
    </row>
    <row r="242" ht="15.75" customHeight="1">
      <c r="A242" s="130">
        <v>2021.0</v>
      </c>
      <c r="B242" s="130" t="s">
        <v>133</v>
      </c>
      <c r="C242" s="130" t="s">
        <v>66</v>
      </c>
      <c r="D242" s="130" t="s">
        <v>27</v>
      </c>
      <c r="E242" s="130" t="s">
        <v>138</v>
      </c>
      <c r="F242" s="130" t="s">
        <v>137</v>
      </c>
      <c r="G242" s="130" t="s">
        <v>136</v>
      </c>
      <c r="H242" s="132">
        <v>7.0</v>
      </c>
      <c r="I242" s="130" t="s">
        <v>21</v>
      </c>
      <c r="J242" s="126"/>
      <c r="K242" s="126"/>
      <c r="L242" s="126"/>
      <c r="M242" s="126"/>
      <c r="N242" s="126"/>
      <c r="O242" s="126"/>
    </row>
    <row r="243" ht="15.75" customHeight="1">
      <c r="A243" s="130">
        <v>2021.0</v>
      </c>
      <c r="B243" s="130" t="s">
        <v>133</v>
      </c>
      <c r="C243" s="130" t="s">
        <v>66</v>
      </c>
      <c r="D243" s="130" t="s">
        <v>25</v>
      </c>
      <c r="E243" s="130" t="s">
        <v>138</v>
      </c>
      <c r="F243" s="130" t="s">
        <v>127</v>
      </c>
      <c r="G243" s="130" t="s">
        <v>128</v>
      </c>
      <c r="H243" s="132">
        <v>28700.0</v>
      </c>
      <c r="I243" s="130" t="s">
        <v>20</v>
      </c>
      <c r="J243" s="126"/>
      <c r="K243" s="126"/>
      <c r="L243" s="126"/>
      <c r="M243" s="126"/>
      <c r="N243" s="126"/>
      <c r="O243" s="126"/>
    </row>
    <row r="244" ht="15.75" customHeight="1">
      <c r="A244" s="130">
        <v>2021.0</v>
      </c>
      <c r="B244" s="130" t="s">
        <v>133</v>
      </c>
      <c r="C244" s="130" t="s">
        <v>66</v>
      </c>
      <c r="D244" s="130" t="s">
        <v>26</v>
      </c>
      <c r="E244" s="130" t="s">
        <v>126</v>
      </c>
      <c r="F244" s="130" t="s">
        <v>127</v>
      </c>
      <c r="G244" s="130" t="s">
        <v>128</v>
      </c>
      <c r="H244" s="132">
        <v>1810.0</v>
      </c>
      <c r="I244" s="130" t="s">
        <v>20</v>
      </c>
      <c r="J244" s="126"/>
      <c r="K244" s="126"/>
      <c r="L244" s="126"/>
      <c r="M244" s="126"/>
      <c r="N244" s="126"/>
      <c r="O244" s="126"/>
    </row>
    <row r="245" ht="15.75" customHeight="1">
      <c r="A245" s="123">
        <v>2021.0</v>
      </c>
      <c r="B245" s="124" t="s">
        <v>133</v>
      </c>
      <c r="C245" s="124" t="s">
        <v>66</v>
      </c>
      <c r="D245" s="124" t="s">
        <v>27</v>
      </c>
      <c r="E245" s="124" t="s">
        <v>138</v>
      </c>
      <c r="F245" s="124" t="s">
        <v>127</v>
      </c>
      <c r="G245" s="124" t="s">
        <v>128</v>
      </c>
      <c r="H245" s="125">
        <v>46699.0</v>
      </c>
      <c r="I245" s="124" t="s">
        <v>20</v>
      </c>
      <c r="J245" s="126"/>
      <c r="K245" s="126"/>
      <c r="L245" s="126"/>
      <c r="M245" s="126"/>
      <c r="N245" s="126"/>
      <c r="O245" s="126"/>
    </row>
    <row r="246" ht="15.75" customHeight="1">
      <c r="A246" s="123">
        <v>2021.0</v>
      </c>
      <c r="B246" s="124" t="s">
        <v>125</v>
      </c>
      <c r="C246" s="124" t="s">
        <v>67</v>
      </c>
      <c r="D246" s="124" t="s">
        <v>25</v>
      </c>
      <c r="E246" s="124" t="s">
        <v>138</v>
      </c>
      <c r="F246" s="124" t="s">
        <v>112</v>
      </c>
      <c r="G246" s="124" t="s">
        <v>128</v>
      </c>
      <c r="H246" s="125">
        <v>4685.0</v>
      </c>
      <c r="I246" s="124" t="s">
        <v>20</v>
      </c>
      <c r="J246" s="126"/>
      <c r="K246" s="126"/>
      <c r="L246" s="126"/>
      <c r="M246" s="126"/>
      <c r="N246" s="126"/>
      <c r="O246" s="126"/>
    </row>
    <row r="247" ht="15.75" customHeight="1">
      <c r="A247" s="123">
        <v>2021.0</v>
      </c>
      <c r="B247" s="124" t="s">
        <v>125</v>
      </c>
      <c r="C247" s="124" t="s">
        <v>67</v>
      </c>
      <c r="D247" s="124" t="s">
        <v>26</v>
      </c>
      <c r="E247" s="124" t="s">
        <v>126</v>
      </c>
      <c r="F247" s="124" t="s">
        <v>112</v>
      </c>
      <c r="G247" s="124" t="s">
        <v>128</v>
      </c>
      <c r="H247" s="125">
        <v>0.0</v>
      </c>
      <c r="I247" s="124" t="s">
        <v>20</v>
      </c>
      <c r="J247" s="126"/>
      <c r="K247" s="126"/>
      <c r="L247" s="126"/>
      <c r="M247" s="126"/>
      <c r="N247" s="126"/>
      <c r="O247" s="126"/>
    </row>
    <row r="248" ht="15.75" customHeight="1">
      <c r="A248" s="123">
        <v>2021.0</v>
      </c>
      <c r="B248" s="124" t="s">
        <v>125</v>
      </c>
      <c r="C248" s="124" t="s">
        <v>67</v>
      </c>
      <c r="D248" s="124" t="s">
        <v>27</v>
      </c>
      <c r="E248" s="124" t="s">
        <v>138</v>
      </c>
      <c r="F248" s="124" t="s">
        <v>112</v>
      </c>
      <c r="G248" s="124" t="s">
        <v>128</v>
      </c>
      <c r="H248" s="125">
        <v>2459.0</v>
      </c>
      <c r="I248" s="124" t="s">
        <v>20</v>
      </c>
      <c r="J248" s="126"/>
      <c r="K248" s="126"/>
      <c r="L248" s="126"/>
      <c r="M248" s="126"/>
      <c r="N248" s="126"/>
      <c r="O248" s="126"/>
    </row>
    <row r="249" ht="15.75" customHeight="1">
      <c r="A249" s="123">
        <v>2021.0</v>
      </c>
      <c r="B249" s="124" t="s">
        <v>125</v>
      </c>
      <c r="C249" s="124" t="s">
        <v>67</v>
      </c>
      <c r="D249" s="124" t="s">
        <v>25</v>
      </c>
      <c r="E249" s="124" t="s">
        <v>138</v>
      </c>
      <c r="F249" s="124" t="s">
        <v>135</v>
      </c>
      <c r="G249" s="124" t="s">
        <v>136</v>
      </c>
      <c r="H249" s="125">
        <v>26906.0</v>
      </c>
      <c r="I249" s="124" t="s">
        <v>21</v>
      </c>
      <c r="J249" s="126"/>
      <c r="K249" s="126"/>
      <c r="L249" s="126"/>
      <c r="M249" s="126"/>
      <c r="N249" s="126"/>
      <c r="O249" s="126"/>
    </row>
    <row r="250" ht="15.75" customHeight="1">
      <c r="A250" s="123">
        <v>2021.0</v>
      </c>
      <c r="B250" s="124" t="s">
        <v>125</v>
      </c>
      <c r="C250" s="124" t="s">
        <v>67</v>
      </c>
      <c r="D250" s="124" t="s">
        <v>26</v>
      </c>
      <c r="E250" s="124" t="s">
        <v>126</v>
      </c>
      <c r="F250" s="124" t="s">
        <v>135</v>
      </c>
      <c r="G250" s="124" t="s">
        <v>136</v>
      </c>
      <c r="H250" s="125">
        <v>40.0</v>
      </c>
      <c r="I250" s="124" t="s">
        <v>20</v>
      </c>
      <c r="J250" s="126"/>
      <c r="K250" s="126"/>
      <c r="L250" s="126"/>
      <c r="M250" s="126"/>
      <c r="N250" s="126"/>
      <c r="O250" s="126"/>
    </row>
    <row r="251" ht="15.75" customHeight="1">
      <c r="A251" s="123">
        <v>2021.0</v>
      </c>
      <c r="B251" s="124" t="s">
        <v>125</v>
      </c>
      <c r="C251" s="124" t="s">
        <v>67</v>
      </c>
      <c r="D251" s="124" t="s">
        <v>27</v>
      </c>
      <c r="E251" s="124" t="s">
        <v>138</v>
      </c>
      <c r="F251" s="124" t="s">
        <v>135</v>
      </c>
      <c r="G251" s="124" t="s">
        <v>136</v>
      </c>
      <c r="H251" s="125">
        <v>46753.0</v>
      </c>
      <c r="I251" s="124" t="s">
        <v>21</v>
      </c>
      <c r="J251" s="126"/>
      <c r="K251" s="126"/>
      <c r="L251" s="126"/>
      <c r="M251" s="126"/>
      <c r="N251" s="126"/>
      <c r="O251" s="126"/>
    </row>
    <row r="252" ht="15.75" customHeight="1">
      <c r="A252" s="123">
        <v>2021.0</v>
      </c>
      <c r="B252" s="124" t="s">
        <v>125</v>
      </c>
      <c r="C252" s="124" t="s">
        <v>67</v>
      </c>
      <c r="D252" s="124" t="s">
        <v>25</v>
      </c>
      <c r="E252" s="124" t="s">
        <v>138</v>
      </c>
      <c r="F252" s="124" t="s">
        <v>134</v>
      </c>
      <c r="G252" s="124" t="s">
        <v>134</v>
      </c>
      <c r="H252" s="125">
        <v>230.0</v>
      </c>
      <c r="I252" s="124" t="s">
        <v>20</v>
      </c>
      <c r="J252" s="126"/>
      <c r="K252" s="126"/>
      <c r="L252" s="126"/>
      <c r="M252" s="126"/>
      <c r="N252" s="126"/>
      <c r="O252" s="126"/>
    </row>
    <row r="253" ht="15.75" customHeight="1">
      <c r="A253" s="123">
        <v>2021.0</v>
      </c>
      <c r="B253" s="124" t="s">
        <v>125</v>
      </c>
      <c r="C253" s="124" t="s">
        <v>67</v>
      </c>
      <c r="D253" s="124" t="s">
        <v>25</v>
      </c>
      <c r="E253" s="124" t="s">
        <v>138</v>
      </c>
      <c r="F253" s="124" t="s">
        <v>134</v>
      </c>
      <c r="G253" s="124" t="s">
        <v>134</v>
      </c>
      <c r="H253" s="125">
        <v>33705.0</v>
      </c>
      <c r="I253" s="124" t="s">
        <v>21</v>
      </c>
      <c r="J253" s="126"/>
      <c r="K253" s="126"/>
      <c r="L253" s="126"/>
      <c r="M253" s="126"/>
      <c r="N253" s="126"/>
      <c r="O253" s="126"/>
    </row>
    <row r="254" ht="15.75" customHeight="1">
      <c r="A254" s="123">
        <v>2021.0</v>
      </c>
      <c r="B254" s="124" t="s">
        <v>125</v>
      </c>
      <c r="C254" s="124" t="s">
        <v>67</v>
      </c>
      <c r="D254" s="124" t="s">
        <v>26</v>
      </c>
      <c r="E254" s="124" t="s">
        <v>126</v>
      </c>
      <c r="F254" s="124" t="s">
        <v>134</v>
      </c>
      <c r="G254" s="124" t="s">
        <v>134</v>
      </c>
      <c r="H254" s="125">
        <v>7.0</v>
      </c>
      <c r="I254" s="124" t="s">
        <v>20</v>
      </c>
      <c r="J254" s="126"/>
      <c r="K254" s="126"/>
      <c r="L254" s="126"/>
      <c r="M254" s="126"/>
      <c r="N254" s="126"/>
      <c r="O254" s="126"/>
    </row>
    <row r="255" ht="15.75" customHeight="1">
      <c r="A255" s="123">
        <v>2021.0</v>
      </c>
      <c r="B255" s="124" t="s">
        <v>125</v>
      </c>
      <c r="C255" s="124" t="s">
        <v>67</v>
      </c>
      <c r="D255" s="124" t="s">
        <v>27</v>
      </c>
      <c r="E255" s="124" t="s">
        <v>138</v>
      </c>
      <c r="F255" s="124" t="s">
        <v>134</v>
      </c>
      <c r="G255" s="124" t="s">
        <v>134</v>
      </c>
      <c r="H255" s="125">
        <v>12402.0</v>
      </c>
      <c r="I255" s="124" t="s">
        <v>21</v>
      </c>
      <c r="J255" s="126"/>
      <c r="K255" s="126"/>
      <c r="L255" s="126"/>
      <c r="M255" s="126"/>
      <c r="N255" s="126"/>
      <c r="O255" s="126"/>
    </row>
    <row r="256" ht="15.75" customHeight="1">
      <c r="A256" s="123">
        <v>2021.0</v>
      </c>
      <c r="B256" s="124" t="s">
        <v>125</v>
      </c>
      <c r="C256" s="124" t="s">
        <v>67</v>
      </c>
      <c r="D256" s="124" t="s">
        <v>25</v>
      </c>
      <c r="E256" s="124" t="s">
        <v>138</v>
      </c>
      <c r="F256" s="124" t="s">
        <v>137</v>
      </c>
      <c r="G256" s="124" t="s">
        <v>136</v>
      </c>
      <c r="H256" s="125">
        <v>2599.0</v>
      </c>
      <c r="I256" s="124" t="s">
        <v>20</v>
      </c>
      <c r="J256" s="126"/>
      <c r="K256" s="126"/>
      <c r="L256" s="126"/>
      <c r="M256" s="126"/>
      <c r="N256" s="126"/>
      <c r="O256" s="126"/>
    </row>
    <row r="257" ht="15.75" customHeight="1">
      <c r="A257" s="123">
        <v>2021.0</v>
      </c>
      <c r="B257" s="124" t="s">
        <v>125</v>
      </c>
      <c r="C257" s="124" t="s">
        <v>67</v>
      </c>
      <c r="D257" s="124" t="s">
        <v>25</v>
      </c>
      <c r="E257" s="124" t="s">
        <v>138</v>
      </c>
      <c r="F257" s="124" t="s">
        <v>137</v>
      </c>
      <c r="G257" s="124" t="s">
        <v>136</v>
      </c>
      <c r="H257" s="125">
        <v>10681.0</v>
      </c>
      <c r="I257" s="124" t="s">
        <v>21</v>
      </c>
      <c r="J257" s="126"/>
      <c r="K257" s="126"/>
      <c r="L257" s="126"/>
      <c r="M257" s="126"/>
      <c r="N257" s="126"/>
      <c r="O257" s="126"/>
    </row>
    <row r="258" ht="15.75" customHeight="1">
      <c r="A258" s="123">
        <v>2021.0</v>
      </c>
      <c r="B258" s="124" t="s">
        <v>125</v>
      </c>
      <c r="C258" s="124" t="s">
        <v>67</v>
      </c>
      <c r="D258" s="124" t="s">
        <v>26</v>
      </c>
      <c r="E258" s="124" t="s">
        <v>126</v>
      </c>
      <c r="F258" s="124" t="s">
        <v>137</v>
      </c>
      <c r="G258" s="124" t="s">
        <v>136</v>
      </c>
      <c r="H258" s="125">
        <v>0.0</v>
      </c>
      <c r="I258" s="124" t="s">
        <v>20</v>
      </c>
      <c r="J258" s="126"/>
      <c r="K258" s="126"/>
      <c r="L258" s="126"/>
      <c r="M258" s="126"/>
      <c r="N258" s="126"/>
      <c r="O258" s="126"/>
    </row>
    <row r="259" ht="15.75" customHeight="1">
      <c r="A259" s="123">
        <v>2021.0</v>
      </c>
      <c r="B259" s="124" t="s">
        <v>125</v>
      </c>
      <c r="C259" s="124" t="s">
        <v>67</v>
      </c>
      <c r="D259" s="124" t="s">
        <v>27</v>
      </c>
      <c r="E259" s="124" t="s">
        <v>138</v>
      </c>
      <c r="F259" s="124" t="s">
        <v>137</v>
      </c>
      <c r="G259" s="124" t="s">
        <v>136</v>
      </c>
      <c r="H259" s="125">
        <v>3165.0</v>
      </c>
      <c r="I259" s="124" t="s">
        <v>20</v>
      </c>
      <c r="J259" s="126"/>
      <c r="K259" s="126"/>
      <c r="L259" s="126"/>
      <c r="M259" s="126"/>
      <c r="N259" s="126"/>
      <c r="O259" s="126"/>
    </row>
    <row r="260" ht="15.75" customHeight="1">
      <c r="A260" s="130">
        <v>2021.0</v>
      </c>
      <c r="B260" s="130" t="s">
        <v>125</v>
      </c>
      <c r="C260" s="130" t="s">
        <v>67</v>
      </c>
      <c r="D260" s="130" t="s">
        <v>27</v>
      </c>
      <c r="E260" s="130" t="s">
        <v>138</v>
      </c>
      <c r="F260" s="130" t="s">
        <v>137</v>
      </c>
      <c r="G260" s="130" t="s">
        <v>136</v>
      </c>
      <c r="H260" s="132">
        <v>471.0</v>
      </c>
      <c r="I260" s="130" t="s">
        <v>21</v>
      </c>
      <c r="J260" s="126"/>
      <c r="K260" s="126"/>
      <c r="L260" s="126"/>
      <c r="M260" s="126"/>
      <c r="N260" s="126"/>
      <c r="O260" s="126"/>
    </row>
    <row r="261" ht="15.75" customHeight="1">
      <c r="A261" s="130">
        <v>2021.0</v>
      </c>
      <c r="B261" s="130" t="s">
        <v>125</v>
      </c>
      <c r="C261" s="130" t="s">
        <v>67</v>
      </c>
      <c r="D261" s="130" t="s">
        <v>25</v>
      </c>
      <c r="E261" s="130" t="s">
        <v>138</v>
      </c>
      <c r="F261" s="130" t="s">
        <v>127</v>
      </c>
      <c r="G261" s="130" t="s">
        <v>128</v>
      </c>
      <c r="H261" s="132">
        <v>46750.0</v>
      </c>
      <c r="I261" s="130" t="s">
        <v>20</v>
      </c>
      <c r="J261" s="126"/>
      <c r="K261" s="126"/>
      <c r="L261" s="126"/>
      <c r="M261" s="126"/>
      <c r="N261" s="126"/>
      <c r="O261" s="126"/>
    </row>
    <row r="262" ht="15.75" customHeight="1">
      <c r="A262" s="130">
        <v>2021.0</v>
      </c>
      <c r="B262" s="130" t="s">
        <v>125</v>
      </c>
      <c r="C262" s="130" t="s">
        <v>67</v>
      </c>
      <c r="D262" s="130" t="s">
        <v>26</v>
      </c>
      <c r="E262" s="130" t="s">
        <v>126</v>
      </c>
      <c r="F262" s="130" t="s">
        <v>127</v>
      </c>
      <c r="G262" s="130" t="s">
        <v>128</v>
      </c>
      <c r="H262" s="132">
        <v>9242.0</v>
      </c>
      <c r="I262" s="130" t="s">
        <v>20</v>
      </c>
      <c r="J262" s="126"/>
      <c r="K262" s="126"/>
      <c r="L262" s="126"/>
      <c r="M262" s="126"/>
      <c r="N262" s="126"/>
      <c r="O262" s="126"/>
    </row>
    <row r="263" ht="15.75" customHeight="1">
      <c r="A263" s="123">
        <v>2021.0</v>
      </c>
      <c r="B263" s="124" t="s">
        <v>125</v>
      </c>
      <c r="C263" s="124" t="s">
        <v>67</v>
      </c>
      <c r="D263" s="124" t="s">
        <v>27</v>
      </c>
      <c r="E263" s="124" t="s">
        <v>138</v>
      </c>
      <c r="F263" s="124" t="s">
        <v>127</v>
      </c>
      <c r="G263" s="124" t="s">
        <v>128</v>
      </c>
      <c r="H263" s="125">
        <v>41296.0</v>
      </c>
      <c r="I263" s="124" t="s">
        <v>20</v>
      </c>
      <c r="J263" s="126"/>
      <c r="K263" s="126"/>
      <c r="L263" s="126"/>
      <c r="M263" s="126"/>
      <c r="N263" s="126"/>
      <c r="O263" s="126"/>
    </row>
    <row r="264" ht="15.75" customHeight="1">
      <c r="A264" s="123">
        <v>2021.0</v>
      </c>
      <c r="B264" s="124" t="s">
        <v>129</v>
      </c>
      <c r="C264" s="124" t="s">
        <v>68</v>
      </c>
      <c r="D264" s="124" t="s">
        <v>25</v>
      </c>
      <c r="E264" s="124" t="s">
        <v>138</v>
      </c>
      <c r="F264" s="124" t="s">
        <v>112</v>
      </c>
      <c r="G264" s="124" t="s">
        <v>128</v>
      </c>
      <c r="H264" s="125">
        <v>3795.0</v>
      </c>
      <c r="I264" s="124" t="s">
        <v>20</v>
      </c>
      <c r="J264" s="126"/>
      <c r="K264" s="126"/>
      <c r="L264" s="126"/>
      <c r="M264" s="126"/>
      <c r="N264" s="126"/>
      <c r="O264" s="126"/>
    </row>
    <row r="265" ht="15.75" customHeight="1">
      <c r="A265" s="123">
        <v>2021.0</v>
      </c>
      <c r="B265" s="124" t="s">
        <v>129</v>
      </c>
      <c r="C265" s="124" t="s">
        <v>68</v>
      </c>
      <c r="D265" s="124" t="s">
        <v>26</v>
      </c>
      <c r="E265" s="124" t="s">
        <v>126</v>
      </c>
      <c r="F265" s="124" t="s">
        <v>112</v>
      </c>
      <c r="G265" s="124" t="s">
        <v>128</v>
      </c>
      <c r="H265" s="125">
        <v>573.0</v>
      </c>
      <c r="I265" s="124" t="s">
        <v>20</v>
      </c>
      <c r="J265" s="126"/>
      <c r="K265" s="126"/>
      <c r="L265" s="126"/>
      <c r="M265" s="126"/>
      <c r="N265" s="126"/>
      <c r="O265" s="126"/>
    </row>
    <row r="266" ht="15.75" customHeight="1">
      <c r="A266" s="123">
        <v>2021.0</v>
      </c>
      <c r="B266" s="124" t="s">
        <v>129</v>
      </c>
      <c r="C266" s="124" t="s">
        <v>68</v>
      </c>
      <c r="D266" s="124" t="s">
        <v>27</v>
      </c>
      <c r="E266" s="124" t="s">
        <v>138</v>
      </c>
      <c r="F266" s="124" t="s">
        <v>112</v>
      </c>
      <c r="G266" s="124" t="s">
        <v>128</v>
      </c>
      <c r="H266" s="125">
        <v>2753.0</v>
      </c>
      <c r="I266" s="124" t="s">
        <v>20</v>
      </c>
      <c r="J266" s="126"/>
      <c r="K266" s="126"/>
      <c r="L266" s="126"/>
      <c r="M266" s="126"/>
      <c r="N266" s="126"/>
      <c r="O266" s="126"/>
    </row>
    <row r="267" ht="15.75" customHeight="1">
      <c r="A267" s="123">
        <v>2021.0</v>
      </c>
      <c r="B267" s="124" t="s">
        <v>129</v>
      </c>
      <c r="C267" s="124" t="s">
        <v>68</v>
      </c>
      <c r="D267" s="124" t="s">
        <v>25</v>
      </c>
      <c r="E267" s="124" t="s">
        <v>138</v>
      </c>
      <c r="F267" s="124" t="s">
        <v>135</v>
      </c>
      <c r="G267" s="124" t="s">
        <v>136</v>
      </c>
      <c r="H267" s="125">
        <v>39139.0</v>
      </c>
      <c r="I267" s="124" t="s">
        <v>21</v>
      </c>
      <c r="J267" s="126"/>
      <c r="K267" s="126"/>
      <c r="L267" s="126"/>
      <c r="M267" s="126"/>
      <c r="N267" s="126"/>
      <c r="O267" s="126"/>
    </row>
    <row r="268" ht="15.75" customHeight="1">
      <c r="A268" s="123">
        <v>2021.0</v>
      </c>
      <c r="B268" s="124" t="s">
        <v>129</v>
      </c>
      <c r="C268" s="124" t="s">
        <v>68</v>
      </c>
      <c r="D268" s="124" t="s">
        <v>26</v>
      </c>
      <c r="E268" s="124" t="s">
        <v>126</v>
      </c>
      <c r="F268" s="124" t="s">
        <v>135</v>
      </c>
      <c r="G268" s="124" t="s">
        <v>136</v>
      </c>
      <c r="H268" s="125">
        <v>1.0</v>
      </c>
      <c r="I268" s="124" t="s">
        <v>20</v>
      </c>
      <c r="J268" s="126"/>
      <c r="K268" s="126"/>
      <c r="L268" s="126"/>
      <c r="M268" s="126"/>
      <c r="N268" s="126"/>
      <c r="O268" s="126"/>
    </row>
    <row r="269" ht="15.75" customHeight="1">
      <c r="A269" s="123">
        <v>2021.0</v>
      </c>
      <c r="B269" s="124" t="s">
        <v>129</v>
      </c>
      <c r="C269" s="124" t="s">
        <v>68</v>
      </c>
      <c r="D269" s="124" t="s">
        <v>27</v>
      </c>
      <c r="E269" s="124" t="s">
        <v>138</v>
      </c>
      <c r="F269" s="124" t="s">
        <v>135</v>
      </c>
      <c r="G269" s="124" t="s">
        <v>136</v>
      </c>
      <c r="H269" s="125">
        <v>76920.0</v>
      </c>
      <c r="I269" s="124" t="s">
        <v>21</v>
      </c>
      <c r="J269" s="126"/>
      <c r="K269" s="126"/>
      <c r="L269" s="126"/>
      <c r="M269" s="126"/>
      <c r="N269" s="126"/>
      <c r="O269" s="126"/>
    </row>
    <row r="270" ht="15.75" customHeight="1">
      <c r="A270" s="123">
        <v>2021.0</v>
      </c>
      <c r="B270" s="124" t="s">
        <v>129</v>
      </c>
      <c r="C270" s="124" t="s">
        <v>68</v>
      </c>
      <c r="D270" s="124" t="s">
        <v>25</v>
      </c>
      <c r="E270" s="124" t="s">
        <v>138</v>
      </c>
      <c r="F270" s="124" t="s">
        <v>134</v>
      </c>
      <c r="G270" s="124" t="s">
        <v>134</v>
      </c>
      <c r="H270" s="125">
        <v>0.0</v>
      </c>
      <c r="I270" s="124" t="s">
        <v>20</v>
      </c>
      <c r="J270" s="126"/>
      <c r="K270" s="126"/>
      <c r="L270" s="126"/>
      <c r="M270" s="126"/>
      <c r="N270" s="126"/>
      <c r="O270" s="126"/>
    </row>
    <row r="271" ht="15.75" customHeight="1">
      <c r="A271" s="123">
        <v>2021.0</v>
      </c>
      <c r="B271" s="124" t="s">
        <v>129</v>
      </c>
      <c r="C271" s="124" t="s">
        <v>68</v>
      </c>
      <c r="D271" s="124" t="s">
        <v>25</v>
      </c>
      <c r="E271" s="124" t="s">
        <v>138</v>
      </c>
      <c r="F271" s="124" t="s">
        <v>134</v>
      </c>
      <c r="G271" s="124" t="s">
        <v>134</v>
      </c>
      <c r="H271" s="125">
        <v>42018.0</v>
      </c>
      <c r="I271" s="124" t="s">
        <v>21</v>
      </c>
      <c r="J271" s="126"/>
      <c r="K271" s="126"/>
      <c r="L271" s="126"/>
      <c r="M271" s="126"/>
      <c r="N271" s="126"/>
      <c r="O271" s="126"/>
    </row>
    <row r="272" ht="15.75" customHeight="1">
      <c r="A272" s="123">
        <v>2021.0</v>
      </c>
      <c r="B272" s="124" t="s">
        <v>129</v>
      </c>
      <c r="C272" s="124" t="s">
        <v>68</v>
      </c>
      <c r="D272" s="124" t="s">
        <v>26</v>
      </c>
      <c r="E272" s="124" t="s">
        <v>126</v>
      </c>
      <c r="F272" s="124" t="s">
        <v>134</v>
      </c>
      <c r="G272" s="124" t="s">
        <v>134</v>
      </c>
      <c r="H272" s="125">
        <v>4.0</v>
      </c>
      <c r="I272" s="124" t="s">
        <v>20</v>
      </c>
      <c r="J272" s="126"/>
      <c r="K272" s="126"/>
      <c r="L272" s="126"/>
      <c r="M272" s="126"/>
      <c r="N272" s="126"/>
      <c r="O272" s="126"/>
    </row>
    <row r="273" ht="15.75" customHeight="1">
      <c r="A273" s="123">
        <v>2021.0</v>
      </c>
      <c r="B273" s="124" t="s">
        <v>129</v>
      </c>
      <c r="C273" s="124" t="s">
        <v>68</v>
      </c>
      <c r="D273" s="124" t="s">
        <v>27</v>
      </c>
      <c r="E273" s="124" t="s">
        <v>138</v>
      </c>
      <c r="F273" s="124" t="s">
        <v>134</v>
      </c>
      <c r="G273" s="124" t="s">
        <v>134</v>
      </c>
      <c r="H273" s="125">
        <v>12975.0</v>
      </c>
      <c r="I273" s="124" t="s">
        <v>21</v>
      </c>
      <c r="J273" s="126"/>
      <c r="K273" s="126"/>
      <c r="L273" s="126"/>
      <c r="M273" s="126"/>
      <c r="N273" s="126"/>
      <c r="O273" s="126"/>
    </row>
    <row r="274" ht="15.75" customHeight="1">
      <c r="A274" s="123">
        <v>2021.0</v>
      </c>
      <c r="B274" s="124" t="s">
        <v>129</v>
      </c>
      <c r="C274" s="124" t="s">
        <v>68</v>
      </c>
      <c r="D274" s="124" t="s">
        <v>25</v>
      </c>
      <c r="E274" s="124" t="s">
        <v>138</v>
      </c>
      <c r="F274" s="124" t="s">
        <v>137</v>
      </c>
      <c r="G274" s="124" t="s">
        <v>136</v>
      </c>
      <c r="H274" s="125">
        <v>2692.0</v>
      </c>
      <c r="I274" s="124" t="s">
        <v>20</v>
      </c>
      <c r="J274" s="126"/>
      <c r="K274" s="126"/>
      <c r="L274" s="126"/>
      <c r="M274" s="126"/>
      <c r="N274" s="126"/>
      <c r="O274" s="126"/>
    </row>
    <row r="275" ht="15.75" customHeight="1">
      <c r="A275" s="123">
        <v>2021.0</v>
      </c>
      <c r="B275" s="124" t="s">
        <v>129</v>
      </c>
      <c r="C275" s="124" t="s">
        <v>68</v>
      </c>
      <c r="D275" s="124" t="s">
        <v>25</v>
      </c>
      <c r="E275" s="124" t="s">
        <v>138</v>
      </c>
      <c r="F275" s="124" t="s">
        <v>137</v>
      </c>
      <c r="G275" s="124" t="s">
        <v>136</v>
      </c>
      <c r="H275" s="125">
        <v>8209.0</v>
      </c>
      <c r="I275" s="124" t="s">
        <v>21</v>
      </c>
      <c r="J275" s="126"/>
      <c r="K275" s="126"/>
      <c r="L275" s="126"/>
      <c r="M275" s="126"/>
      <c r="N275" s="126"/>
      <c r="O275" s="126"/>
    </row>
    <row r="276" ht="15.75" customHeight="1">
      <c r="A276" s="123">
        <v>2021.0</v>
      </c>
      <c r="B276" s="124" t="s">
        <v>129</v>
      </c>
      <c r="C276" s="124" t="s">
        <v>68</v>
      </c>
      <c r="D276" s="124" t="s">
        <v>26</v>
      </c>
      <c r="E276" s="124" t="s">
        <v>126</v>
      </c>
      <c r="F276" s="124" t="s">
        <v>137</v>
      </c>
      <c r="G276" s="124" t="s">
        <v>136</v>
      </c>
      <c r="H276" s="125">
        <v>0.0</v>
      </c>
      <c r="I276" s="124" t="s">
        <v>20</v>
      </c>
      <c r="J276" s="126"/>
      <c r="K276" s="126"/>
      <c r="L276" s="126"/>
      <c r="M276" s="126"/>
      <c r="N276" s="126"/>
      <c r="O276" s="126"/>
    </row>
    <row r="277" ht="15.75" customHeight="1">
      <c r="A277" s="123">
        <v>2021.0</v>
      </c>
      <c r="B277" s="124" t="s">
        <v>129</v>
      </c>
      <c r="C277" s="124" t="s">
        <v>68</v>
      </c>
      <c r="D277" s="124" t="s">
        <v>27</v>
      </c>
      <c r="E277" s="124" t="s">
        <v>138</v>
      </c>
      <c r="F277" s="124" t="s">
        <v>137</v>
      </c>
      <c r="G277" s="124" t="s">
        <v>136</v>
      </c>
      <c r="H277" s="125">
        <v>426.0</v>
      </c>
      <c r="I277" s="124" t="s">
        <v>20</v>
      </c>
      <c r="J277" s="126"/>
      <c r="K277" s="126"/>
      <c r="L277" s="126"/>
      <c r="M277" s="126"/>
      <c r="N277" s="126"/>
      <c r="O277" s="126"/>
    </row>
    <row r="278" ht="15.75" customHeight="1">
      <c r="A278" s="130">
        <v>2021.0</v>
      </c>
      <c r="B278" s="130" t="s">
        <v>129</v>
      </c>
      <c r="C278" s="130" t="s">
        <v>68</v>
      </c>
      <c r="D278" s="130" t="s">
        <v>27</v>
      </c>
      <c r="E278" s="130" t="s">
        <v>138</v>
      </c>
      <c r="F278" s="130" t="s">
        <v>137</v>
      </c>
      <c r="G278" s="130" t="s">
        <v>136</v>
      </c>
      <c r="H278" s="132">
        <v>2468.0</v>
      </c>
      <c r="I278" s="130" t="s">
        <v>21</v>
      </c>
      <c r="J278" s="126"/>
      <c r="K278" s="126"/>
      <c r="L278" s="126"/>
      <c r="M278" s="126"/>
      <c r="N278" s="126"/>
      <c r="O278" s="126"/>
    </row>
    <row r="279" ht="15.75" customHeight="1">
      <c r="A279" s="130">
        <v>2021.0</v>
      </c>
      <c r="B279" s="130" t="s">
        <v>129</v>
      </c>
      <c r="C279" s="130" t="s">
        <v>68</v>
      </c>
      <c r="D279" s="130" t="s">
        <v>25</v>
      </c>
      <c r="E279" s="130" t="s">
        <v>138</v>
      </c>
      <c r="F279" s="130" t="s">
        <v>127</v>
      </c>
      <c r="G279" s="130" t="s">
        <v>128</v>
      </c>
      <c r="H279" s="132">
        <v>52150.0</v>
      </c>
      <c r="I279" s="130" t="s">
        <v>20</v>
      </c>
      <c r="J279" s="126"/>
      <c r="K279" s="126"/>
      <c r="L279" s="126"/>
      <c r="M279" s="126"/>
      <c r="N279" s="126"/>
      <c r="O279" s="126"/>
    </row>
    <row r="280" ht="15.75" customHeight="1">
      <c r="A280" s="130">
        <v>2021.0</v>
      </c>
      <c r="B280" s="130" t="s">
        <v>129</v>
      </c>
      <c r="C280" s="130" t="s">
        <v>68</v>
      </c>
      <c r="D280" s="130" t="s">
        <v>26</v>
      </c>
      <c r="E280" s="130" t="s">
        <v>126</v>
      </c>
      <c r="F280" s="130" t="s">
        <v>127</v>
      </c>
      <c r="G280" s="130" t="s">
        <v>128</v>
      </c>
      <c r="H280" s="132">
        <v>11188.0</v>
      </c>
      <c r="I280" s="130" t="s">
        <v>20</v>
      </c>
      <c r="J280" s="126"/>
      <c r="K280" s="126"/>
      <c r="L280" s="126"/>
      <c r="M280" s="126"/>
      <c r="N280" s="126"/>
      <c r="O280" s="126"/>
    </row>
    <row r="281" ht="15.75" customHeight="1">
      <c r="A281" s="123">
        <v>2021.0</v>
      </c>
      <c r="B281" s="124" t="s">
        <v>129</v>
      </c>
      <c r="C281" s="124" t="s">
        <v>68</v>
      </c>
      <c r="D281" s="124" t="s">
        <v>27</v>
      </c>
      <c r="E281" s="124" t="s">
        <v>138</v>
      </c>
      <c r="F281" s="124" t="s">
        <v>127</v>
      </c>
      <c r="G281" s="124" t="s">
        <v>128</v>
      </c>
      <c r="H281" s="125">
        <v>53339.0</v>
      </c>
      <c r="I281" s="124" t="s">
        <v>20</v>
      </c>
      <c r="J281" s="126"/>
      <c r="K281" s="126"/>
      <c r="L281" s="126"/>
      <c r="M281" s="126"/>
      <c r="N281" s="126"/>
      <c r="O281" s="126"/>
    </row>
    <row r="282" ht="15.75" customHeight="1">
      <c r="A282" s="123">
        <v>2022.0</v>
      </c>
      <c r="B282" s="124" t="s">
        <v>132</v>
      </c>
      <c r="C282" s="124" t="s">
        <v>69</v>
      </c>
      <c r="D282" s="124" t="s">
        <v>25</v>
      </c>
      <c r="E282" s="124" t="s">
        <v>138</v>
      </c>
      <c r="F282" s="124" t="s">
        <v>112</v>
      </c>
      <c r="G282" s="124" t="s">
        <v>128</v>
      </c>
      <c r="H282" s="125">
        <v>7103.0</v>
      </c>
      <c r="I282" s="124" t="s">
        <v>20</v>
      </c>
      <c r="J282" s="126"/>
      <c r="K282" s="126"/>
      <c r="L282" s="126"/>
      <c r="M282" s="126"/>
      <c r="N282" s="126"/>
      <c r="O282" s="126"/>
    </row>
    <row r="283" ht="15.75" customHeight="1">
      <c r="A283" s="123">
        <v>2022.0</v>
      </c>
      <c r="B283" s="124" t="s">
        <v>132</v>
      </c>
      <c r="C283" s="124" t="s">
        <v>69</v>
      </c>
      <c r="D283" s="124" t="s">
        <v>26</v>
      </c>
      <c r="E283" s="124" t="s">
        <v>126</v>
      </c>
      <c r="F283" s="124" t="s">
        <v>112</v>
      </c>
      <c r="G283" s="124" t="s">
        <v>128</v>
      </c>
      <c r="H283" s="125">
        <v>712.0</v>
      </c>
      <c r="I283" s="124" t="s">
        <v>20</v>
      </c>
      <c r="J283" s="126"/>
      <c r="K283" s="126"/>
      <c r="L283" s="126"/>
      <c r="M283" s="126"/>
      <c r="N283" s="126"/>
      <c r="O283" s="126"/>
    </row>
    <row r="284" ht="15.75" customHeight="1">
      <c r="A284" s="123">
        <v>2022.0</v>
      </c>
      <c r="B284" s="124" t="s">
        <v>132</v>
      </c>
      <c r="C284" s="124" t="s">
        <v>69</v>
      </c>
      <c r="D284" s="124" t="s">
        <v>27</v>
      </c>
      <c r="E284" s="124" t="s">
        <v>138</v>
      </c>
      <c r="F284" s="124" t="s">
        <v>112</v>
      </c>
      <c r="G284" s="124" t="s">
        <v>128</v>
      </c>
      <c r="H284" s="125">
        <v>4028.0</v>
      </c>
      <c r="I284" s="124" t="s">
        <v>20</v>
      </c>
      <c r="J284" s="126"/>
      <c r="K284" s="126"/>
      <c r="L284" s="126"/>
      <c r="M284" s="126"/>
      <c r="N284" s="126"/>
      <c r="O284" s="126"/>
    </row>
    <row r="285" ht="15.75" customHeight="1">
      <c r="A285" s="123">
        <v>2022.0</v>
      </c>
      <c r="B285" s="124" t="s">
        <v>132</v>
      </c>
      <c r="C285" s="124" t="s">
        <v>69</v>
      </c>
      <c r="D285" s="124" t="s">
        <v>25</v>
      </c>
      <c r="E285" s="124" t="s">
        <v>138</v>
      </c>
      <c r="F285" s="124" t="s">
        <v>135</v>
      </c>
      <c r="G285" s="124" t="s">
        <v>136</v>
      </c>
      <c r="H285" s="125">
        <v>33619.0</v>
      </c>
      <c r="I285" s="124" t="s">
        <v>21</v>
      </c>
      <c r="J285" s="126"/>
      <c r="K285" s="126"/>
      <c r="L285" s="126"/>
      <c r="M285" s="126"/>
      <c r="N285" s="126"/>
      <c r="O285" s="126"/>
    </row>
    <row r="286" ht="15.75" customHeight="1">
      <c r="A286" s="123">
        <v>2022.0</v>
      </c>
      <c r="B286" s="124" t="s">
        <v>132</v>
      </c>
      <c r="C286" s="124" t="s">
        <v>69</v>
      </c>
      <c r="D286" s="124" t="s">
        <v>26</v>
      </c>
      <c r="E286" s="124" t="s">
        <v>126</v>
      </c>
      <c r="F286" s="124" t="s">
        <v>135</v>
      </c>
      <c r="G286" s="124" t="s">
        <v>136</v>
      </c>
      <c r="H286" s="125">
        <v>0.0</v>
      </c>
      <c r="I286" s="124" t="s">
        <v>20</v>
      </c>
      <c r="J286" s="126"/>
      <c r="K286" s="126"/>
      <c r="L286" s="126"/>
      <c r="M286" s="126"/>
      <c r="N286" s="126"/>
      <c r="O286" s="126"/>
    </row>
    <row r="287" ht="15.75" customHeight="1">
      <c r="A287" s="123">
        <v>2022.0</v>
      </c>
      <c r="B287" s="124" t="s">
        <v>132</v>
      </c>
      <c r="C287" s="124" t="s">
        <v>69</v>
      </c>
      <c r="D287" s="124" t="s">
        <v>27</v>
      </c>
      <c r="E287" s="124" t="s">
        <v>138</v>
      </c>
      <c r="F287" s="124" t="s">
        <v>135</v>
      </c>
      <c r="G287" s="124" t="s">
        <v>136</v>
      </c>
      <c r="H287" s="125">
        <v>74681.0</v>
      </c>
      <c r="I287" s="124" t="s">
        <v>21</v>
      </c>
      <c r="J287" s="126"/>
      <c r="K287" s="126"/>
      <c r="L287" s="126"/>
      <c r="M287" s="126"/>
      <c r="N287" s="126"/>
      <c r="O287" s="126"/>
    </row>
    <row r="288" ht="15.75" customHeight="1">
      <c r="A288" s="123">
        <v>2022.0</v>
      </c>
      <c r="B288" s="124" t="s">
        <v>132</v>
      </c>
      <c r="C288" s="124" t="s">
        <v>69</v>
      </c>
      <c r="D288" s="124" t="s">
        <v>25</v>
      </c>
      <c r="E288" s="124" t="s">
        <v>138</v>
      </c>
      <c r="F288" s="124" t="s">
        <v>134</v>
      </c>
      <c r="G288" s="124" t="s">
        <v>134</v>
      </c>
      <c r="H288" s="125">
        <v>32716.0</v>
      </c>
      <c r="I288" s="124" t="s">
        <v>21</v>
      </c>
      <c r="J288" s="126"/>
      <c r="K288" s="126"/>
      <c r="L288" s="126"/>
      <c r="M288" s="126"/>
      <c r="N288" s="126"/>
      <c r="O288" s="126"/>
    </row>
    <row r="289" ht="15.75" customHeight="1">
      <c r="A289" s="123">
        <v>2022.0</v>
      </c>
      <c r="B289" s="124" t="s">
        <v>132</v>
      </c>
      <c r="C289" s="124" t="s">
        <v>69</v>
      </c>
      <c r="D289" s="124" t="s">
        <v>26</v>
      </c>
      <c r="E289" s="124" t="s">
        <v>126</v>
      </c>
      <c r="F289" s="124" t="s">
        <v>134</v>
      </c>
      <c r="G289" s="124" t="s">
        <v>134</v>
      </c>
      <c r="H289" s="125">
        <v>11.0</v>
      </c>
      <c r="I289" s="124" t="s">
        <v>20</v>
      </c>
      <c r="J289" s="126"/>
      <c r="K289" s="126"/>
      <c r="L289" s="126"/>
      <c r="M289" s="126"/>
      <c r="N289" s="126"/>
      <c r="O289" s="126"/>
    </row>
    <row r="290" ht="15.75" customHeight="1">
      <c r="A290" s="123">
        <v>2022.0</v>
      </c>
      <c r="B290" s="124" t="s">
        <v>132</v>
      </c>
      <c r="C290" s="124" t="s">
        <v>69</v>
      </c>
      <c r="D290" s="124" t="s">
        <v>27</v>
      </c>
      <c r="E290" s="124" t="s">
        <v>138</v>
      </c>
      <c r="F290" s="124" t="s">
        <v>134</v>
      </c>
      <c r="G290" s="124" t="s">
        <v>134</v>
      </c>
      <c r="H290" s="125">
        <v>400.0</v>
      </c>
      <c r="I290" s="124" t="s">
        <v>22</v>
      </c>
      <c r="J290" s="126"/>
      <c r="K290" s="126"/>
      <c r="L290" s="126"/>
      <c r="M290" s="126"/>
      <c r="N290" s="126"/>
      <c r="O290" s="126"/>
    </row>
    <row r="291" ht="15.75" customHeight="1">
      <c r="A291" s="123">
        <v>2022.0</v>
      </c>
      <c r="B291" s="124" t="s">
        <v>132</v>
      </c>
      <c r="C291" s="124" t="s">
        <v>69</v>
      </c>
      <c r="D291" s="124" t="s">
        <v>27</v>
      </c>
      <c r="E291" s="124" t="s">
        <v>138</v>
      </c>
      <c r="F291" s="124" t="s">
        <v>134</v>
      </c>
      <c r="G291" s="124" t="s">
        <v>134</v>
      </c>
      <c r="H291" s="125">
        <v>26476.0</v>
      </c>
      <c r="I291" s="124" t="s">
        <v>21</v>
      </c>
      <c r="J291" s="126"/>
      <c r="K291" s="126"/>
      <c r="L291" s="126"/>
      <c r="M291" s="126"/>
      <c r="N291" s="126"/>
      <c r="O291" s="126"/>
    </row>
    <row r="292" ht="15.75" customHeight="1">
      <c r="A292" s="123">
        <v>2022.0</v>
      </c>
      <c r="B292" s="124" t="s">
        <v>132</v>
      </c>
      <c r="C292" s="124" t="s">
        <v>69</v>
      </c>
      <c r="D292" s="124" t="s">
        <v>25</v>
      </c>
      <c r="E292" s="124" t="s">
        <v>138</v>
      </c>
      <c r="F292" s="124" t="s">
        <v>137</v>
      </c>
      <c r="G292" s="124" t="s">
        <v>136</v>
      </c>
      <c r="H292" s="125">
        <v>4978.0</v>
      </c>
      <c r="I292" s="124" t="s">
        <v>20</v>
      </c>
      <c r="J292" s="126"/>
      <c r="K292" s="126"/>
      <c r="L292" s="126"/>
      <c r="M292" s="126"/>
      <c r="N292" s="126"/>
      <c r="O292" s="126"/>
    </row>
    <row r="293" ht="15.75" customHeight="1">
      <c r="A293" s="123">
        <v>2022.0</v>
      </c>
      <c r="B293" s="124" t="s">
        <v>132</v>
      </c>
      <c r="C293" s="124" t="s">
        <v>69</v>
      </c>
      <c r="D293" s="124" t="s">
        <v>25</v>
      </c>
      <c r="E293" s="124" t="s">
        <v>138</v>
      </c>
      <c r="F293" s="124" t="s">
        <v>137</v>
      </c>
      <c r="G293" s="124" t="s">
        <v>136</v>
      </c>
      <c r="H293" s="125">
        <v>9383.0</v>
      </c>
      <c r="I293" s="124" t="s">
        <v>21</v>
      </c>
      <c r="J293" s="126"/>
      <c r="K293" s="126"/>
      <c r="L293" s="126"/>
      <c r="M293" s="126"/>
      <c r="N293" s="126"/>
      <c r="O293" s="126"/>
    </row>
    <row r="294" ht="15.75" customHeight="1">
      <c r="A294" s="123">
        <v>2022.0</v>
      </c>
      <c r="B294" s="124" t="s">
        <v>132</v>
      </c>
      <c r="C294" s="124" t="s">
        <v>69</v>
      </c>
      <c r="D294" s="124" t="s">
        <v>26</v>
      </c>
      <c r="E294" s="124" t="s">
        <v>126</v>
      </c>
      <c r="F294" s="124" t="s">
        <v>137</v>
      </c>
      <c r="G294" s="124" t="s">
        <v>136</v>
      </c>
      <c r="H294" s="125">
        <v>0.0</v>
      </c>
      <c r="I294" s="124" t="s">
        <v>20</v>
      </c>
      <c r="J294" s="126"/>
      <c r="K294" s="126"/>
      <c r="L294" s="126"/>
      <c r="M294" s="126"/>
      <c r="N294" s="126"/>
      <c r="O294" s="126"/>
    </row>
    <row r="295" ht="15.75" customHeight="1">
      <c r="A295" s="123">
        <v>2022.0</v>
      </c>
      <c r="B295" s="124" t="s">
        <v>132</v>
      </c>
      <c r="C295" s="124" t="s">
        <v>69</v>
      </c>
      <c r="D295" s="124" t="s">
        <v>27</v>
      </c>
      <c r="E295" s="124" t="s">
        <v>138</v>
      </c>
      <c r="F295" s="124" t="s">
        <v>137</v>
      </c>
      <c r="G295" s="124" t="s">
        <v>136</v>
      </c>
      <c r="H295" s="125">
        <v>4.0</v>
      </c>
      <c r="I295" s="124" t="s">
        <v>20</v>
      </c>
      <c r="J295" s="126"/>
      <c r="K295" s="126"/>
      <c r="L295" s="126"/>
      <c r="M295" s="126"/>
      <c r="N295" s="126"/>
      <c r="O295" s="126"/>
    </row>
    <row r="296" ht="15.75" customHeight="1">
      <c r="A296" s="130">
        <v>2022.0</v>
      </c>
      <c r="B296" s="130" t="s">
        <v>132</v>
      </c>
      <c r="C296" s="130" t="s">
        <v>69</v>
      </c>
      <c r="D296" s="130" t="s">
        <v>27</v>
      </c>
      <c r="E296" s="130" t="s">
        <v>138</v>
      </c>
      <c r="F296" s="130" t="s">
        <v>137</v>
      </c>
      <c r="G296" s="130" t="s">
        <v>136</v>
      </c>
      <c r="H296" s="132">
        <v>3890.0</v>
      </c>
      <c r="I296" s="130" t="s">
        <v>21</v>
      </c>
      <c r="J296" s="126"/>
      <c r="K296" s="126"/>
      <c r="L296" s="126"/>
      <c r="M296" s="126"/>
      <c r="N296" s="126"/>
      <c r="O296" s="126"/>
    </row>
    <row r="297" ht="15.75" customHeight="1">
      <c r="A297" s="130">
        <v>2022.0</v>
      </c>
      <c r="B297" s="130" t="s">
        <v>132</v>
      </c>
      <c r="C297" s="130" t="s">
        <v>69</v>
      </c>
      <c r="D297" s="130" t="s">
        <v>25</v>
      </c>
      <c r="E297" s="130" t="s">
        <v>138</v>
      </c>
      <c r="F297" s="130" t="s">
        <v>127</v>
      </c>
      <c r="G297" s="130" t="s">
        <v>128</v>
      </c>
      <c r="H297" s="132">
        <v>46000.0</v>
      </c>
      <c r="I297" s="130" t="s">
        <v>20</v>
      </c>
      <c r="J297" s="126"/>
      <c r="K297" s="126"/>
      <c r="L297" s="126"/>
      <c r="M297" s="126"/>
      <c r="N297" s="126"/>
      <c r="O297" s="126"/>
    </row>
    <row r="298" ht="15.75" customHeight="1">
      <c r="A298" s="130">
        <v>2022.0</v>
      </c>
      <c r="B298" s="130" t="s">
        <v>132</v>
      </c>
      <c r="C298" s="130" t="s">
        <v>69</v>
      </c>
      <c r="D298" s="130" t="s">
        <v>26</v>
      </c>
      <c r="E298" s="130" t="s">
        <v>126</v>
      </c>
      <c r="F298" s="130" t="s">
        <v>127</v>
      </c>
      <c r="G298" s="130" t="s">
        <v>128</v>
      </c>
      <c r="H298" s="132">
        <v>14001.0</v>
      </c>
      <c r="I298" s="130" t="s">
        <v>20</v>
      </c>
      <c r="J298" s="126"/>
      <c r="K298" s="126"/>
      <c r="L298" s="126"/>
      <c r="M298" s="126"/>
      <c r="N298" s="126"/>
      <c r="O298" s="126"/>
    </row>
    <row r="299" ht="15.75" customHeight="1">
      <c r="A299" s="123">
        <v>2022.0</v>
      </c>
      <c r="B299" s="124" t="s">
        <v>132</v>
      </c>
      <c r="C299" s="124" t="s">
        <v>69</v>
      </c>
      <c r="D299" s="124" t="s">
        <v>27</v>
      </c>
      <c r="E299" s="124" t="s">
        <v>138</v>
      </c>
      <c r="F299" s="124" t="s">
        <v>127</v>
      </c>
      <c r="G299" s="124" t="s">
        <v>128</v>
      </c>
      <c r="H299" s="125">
        <v>218.0</v>
      </c>
      <c r="I299" s="124" t="s">
        <v>23</v>
      </c>
      <c r="J299" s="126"/>
      <c r="K299" s="126"/>
      <c r="L299" s="126"/>
      <c r="M299" s="126"/>
      <c r="N299" s="126"/>
      <c r="O299" s="126"/>
    </row>
    <row r="300" ht="15.75" customHeight="1">
      <c r="A300" s="123">
        <v>2022.0</v>
      </c>
      <c r="B300" s="124" t="s">
        <v>132</v>
      </c>
      <c r="C300" s="124" t="s">
        <v>69</v>
      </c>
      <c r="D300" s="124" t="s">
        <v>27</v>
      </c>
      <c r="E300" s="124" t="s">
        <v>138</v>
      </c>
      <c r="F300" s="124" t="s">
        <v>127</v>
      </c>
      <c r="G300" s="124" t="s">
        <v>128</v>
      </c>
      <c r="H300" s="125">
        <v>51828.0</v>
      </c>
      <c r="I300" s="124" t="s">
        <v>20</v>
      </c>
      <c r="J300" s="126"/>
      <c r="K300" s="126"/>
      <c r="L300" s="126"/>
      <c r="M300" s="126"/>
      <c r="N300" s="126"/>
      <c r="O300" s="126"/>
    </row>
    <row r="301" ht="15.75" customHeight="1">
      <c r="A301" s="123">
        <v>2022.0</v>
      </c>
      <c r="B301" s="124" t="s">
        <v>133</v>
      </c>
      <c r="C301" s="124" t="s">
        <v>70</v>
      </c>
      <c r="D301" s="124" t="s">
        <v>25</v>
      </c>
      <c r="E301" s="124" t="s">
        <v>138</v>
      </c>
      <c r="F301" s="124" t="s">
        <v>112</v>
      </c>
      <c r="G301" s="124" t="s">
        <v>128</v>
      </c>
      <c r="H301" s="125">
        <v>5204.0</v>
      </c>
      <c r="I301" s="124" t="s">
        <v>20</v>
      </c>
      <c r="J301" s="126"/>
      <c r="K301" s="126"/>
      <c r="L301" s="126"/>
      <c r="M301" s="126"/>
      <c r="N301" s="126"/>
      <c r="O301" s="126"/>
    </row>
    <row r="302" ht="15.75" customHeight="1">
      <c r="A302" s="123">
        <v>2022.0</v>
      </c>
      <c r="B302" s="124" t="s">
        <v>133</v>
      </c>
      <c r="C302" s="124" t="s">
        <v>70</v>
      </c>
      <c r="D302" s="124" t="s">
        <v>26</v>
      </c>
      <c r="E302" s="124" t="s">
        <v>126</v>
      </c>
      <c r="F302" s="124" t="s">
        <v>112</v>
      </c>
      <c r="G302" s="124" t="s">
        <v>128</v>
      </c>
      <c r="H302" s="125">
        <v>784.0</v>
      </c>
      <c r="I302" s="124" t="s">
        <v>20</v>
      </c>
      <c r="J302" s="126"/>
      <c r="K302" s="126"/>
      <c r="L302" s="126"/>
      <c r="M302" s="126"/>
      <c r="N302" s="126"/>
      <c r="O302" s="126"/>
    </row>
    <row r="303" ht="15.75" customHeight="1">
      <c r="A303" s="123">
        <v>2022.0</v>
      </c>
      <c r="B303" s="124" t="s">
        <v>133</v>
      </c>
      <c r="C303" s="124" t="s">
        <v>70</v>
      </c>
      <c r="D303" s="124" t="s">
        <v>27</v>
      </c>
      <c r="E303" s="124" t="s">
        <v>138</v>
      </c>
      <c r="F303" s="124" t="s">
        <v>112</v>
      </c>
      <c r="G303" s="124" t="s">
        <v>128</v>
      </c>
      <c r="H303" s="125">
        <v>4413.0</v>
      </c>
      <c r="I303" s="124" t="s">
        <v>20</v>
      </c>
      <c r="J303" s="126"/>
      <c r="K303" s="126"/>
      <c r="L303" s="126"/>
      <c r="M303" s="126"/>
      <c r="N303" s="126"/>
      <c r="O303" s="126"/>
    </row>
    <row r="304" ht="15.75" customHeight="1">
      <c r="A304" s="123">
        <v>2022.0</v>
      </c>
      <c r="B304" s="124" t="s">
        <v>133</v>
      </c>
      <c r="C304" s="124" t="s">
        <v>70</v>
      </c>
      <c r="D304" s="124" t="s">
        <v>25</v>
      </c>
      <c r="E304" s="124" t="s">
        <v>138</v>
      </c>
      <c r="F304" s="124" t="s">
        <v>135</v>
      </c>
      <c r="G304" s="124" t="s">
        <v>136</v>
      </c>
      <c r="H304" s="125">
        <v>30290.0</v>
      </c>
      <c r="I304" s="124" t="s">
        <v>21</v>
      </c>
      <c r="J304" s="126"/>
      <c r="K304" s="126"/>
      <c r="L304" s="126"/>
      <c r="M304" s="126"/>
      <c r="N304" s="126"/>
      <c r="O304" s="126"/>
    </row>
    <row r="305" ht="15.75" customHeight="1">
      <c r="A305" s="123">
        <v>2022.0</v>
      </c>
      <c r="B305" s="124" t="s">
        <v>133</v>
      </c>
      <c r="C305" s="124" t="s">
        <v>70</v>
      </c>
      <c r="D305" s="124" t="s">
        <v>26</v>
      </c>
      <c r="E305" s="124" t="s">
        <v>126</v>
      </c>
      <c r="F305" s="124" t="s">
        <v>135</v>
      </c>
      <c r="G305" s="124" t="s">
        <v>136</v>
      </c>
      <c r="H305" s="125">
        <v>0.0</v>
      </c>
      <c r="I305" s="124" t="s">
        <v>20</v>
      </c>
      <c r="J305" s="126"/>
      <c r="K305" s="126"/>
      <c r="L305" s="126"/>
      <c r="M305" s="126"/>
      <c r="N305" s="126"/>
      <c r="O305" s="126"/>
    </row>
    <row r="306" ht="15.75" customHeight="1">
      <c r="A306" s="123">
        <v>2022.0</v>
      </c>
      <c r="B306" s="124" t="s">
        <v>133</v>
      </c>
      <c r="C306" s="124" t="s">
        <v>70</v>
      </c>
      <c r="D306" s="124" t="s">
        <v>27</v>
      </c>
      <c r="E306" s="124" t="s">
        <v>138</v>
      </c>
      <c r="F306" s="124" t="s">
        <v>135</v>
      </c>
      <c r="G306" s="124" t="s">
        <v>136</v>
      </c>
      <c r="H306" s="125">
        <v>58985.0</v>
      </c>
      <c r="I306" s="124" t="s">
        <v>21</v>
      </c>
      <c r="J306" s="126"/>
      <c r="K306" s="126"/>
      <c r="L306" s="126"/>
      <c r="M306" s="126"/>
      <c r="N306" s="126"/>
      <c r="O306" s="126"/>
    </row>
    <row r="307" ht="15.75" customHeight="1">
      <c r="A307" s="123">
        <v>2022.0</v>
      </c>
      <c r="B307" s="124" t="s">
        <v>133</v>
      </c>
      <c r="C307" s="124" t="s">
        <v>70</v>
      </c>
      <c r="D307" s="124" t="s">
        <v>25</v>
      </c>
      <c r="E307" s="124" t="s">
        <v>138</v>
      </c>
      <c r="F307" s="124" t="s">
        <v>134</v>
      </c>
      <c r="G307" s="124" t="s">
        <v>134</v>
      </c>
      <c r="H307" s="125">
        <v>7432.0</v>
      </c>
      <c r="I307" s="124" t="s">
        <v>21</v>
      </c>
      <c r="J307" s="126"/>
      <c r="K307" s="126"/>
      <c r="L307" s="126"/>
      <c r="M307" s="126"/>
      <c r="N307" s="126"/>
      <c r="O307" s="126"/>
    </row>
    <row r="308" ht="15.75" customHeight="1">
      <c r="A308" s="123">
        <v>2022.0</v>
      </c>
      <c r="B308" s="124" t="s">
        <v>133</v>
      </c>
      <c r="C308" s="124" t="s">
        <v>70</v>
      </c>
      <c r="D308" s="124" t="s">
        <v>26</v>
      </c>
      <c r="E308" s="124" t="s">
        <v>126</v>
      </c>
      <c r="F308" s="124" t="s">
        <v>134</v>
      </c>
      <c r="G308" s="124" t="s">
        <v>134</v>
      </c>
      <c r="H308" s="125">
        <v>10.0</v>
      </c>
      <c r="I308" s="124" t="s">
        <v>20</v>
      </c>
      <c r="J308" s="126"/>
      <c r="K308" s="126"/>
      <c r="L308" s="126"/>
      <c r="M308" s="126"/>
      <c r="N308" s="126"/>
      <c r="O308" s="126"/>
    </row>
    <row r="309" ht="15.75" customHeight="1">
      <c r="A309" s="123">
        <v>2022.0</v>
      </c>
      <c r="B309" s="124" t="s">
        <v>133</v>
      </c>
      <c r="C309" s="124" t="s">
        <v>70</v>
      </c>
      <c r="D309" s="124" t="s">
        <v>27</v>
      </c>
      <c r="E309" s="124" t="s">
        <v>138</v>
      </c>
      <c r="F309" s="124" t="s">
        <v>134</v>
      </c>
      <c r="G309" s="124" t="s">
        <v>134</v>
      </c>
      <c r="H309" s="125">
        <v>6000.0</v>
      </c>
      <c r="I309" s="124" t="s">
        <v>22</v>
      </c>
      <c r="J309" s="126"/>
      <c r="K309" s="126"/>
      <c r="L309" s="126"/>
      <c r="M309" s="126"/>
      <c r="N309" s="126"/>
      <c r="O309" s="126"/>
    </row>
    <row r="310" ht="15.75" customHeight="1">
      <c r="A310" s="123">
        <v>2022.0</v>
      </c>
      <c r="B310" s="124" t="s">
        <v>133</v>
      </c>
      <c r="C310" s="124" t="s">
        <v>70</v>
      </c>
      <c r="D310" s="124" t="s">
        <v>27</v>
      </c>
      <c r="E310" s="124" t="s">
        <v>138</v>
      </c>
      <c r="F310" s="124" t="s">
        <v>134</v>
      </c>
      <c r="G310" s="124" t="s">
        <v>134</v>
      </c>
      <c r="H310" s="125">
        <v>12778.0</v>
      </c>
      <c r="I310" s="124" t="s">
        <v>21</v>
      </c>
      <c r="J310" s="126"/>
      <c r="K310" s="126"/>
      <c r="L310" s="126"/>
      <c r="M310" s="126"/>
      <c r="N310" s="126"/>
      <c r="O310" s="126"/>
    </row>
    <row r="311" ht="15.75" customHeight="1">
      <c r="A311" s="123">
        <v>2022.0</v>
      </c>
      <c r="B311" s="124" t="s">
        <v>133</v>
      </c>
      <c r="C311" s="124" t="s">
        <v>70</v>
      </c>
      <c r="D311" s="124" t="s">
        <v>25</v>
      </c>
      <c r="E311" s="124" t="s">
        <v>138</v>
      </c>
      <c r="F311" s="124" t="s">
        <v>137</v>
      </c>
      <c r="G311" s="124" t="s">
        <v>136</v>
      </c>
      <c r="H311" s="125">
        <v>4263.0</v>
      </c>
      <c r="I311" s="124" t="s">
        <v>20</v>
      </c>
      <c r="J311" s="126"/>
      <c r="K311" s="126"/>
      <c r="L311" s="126"/>
      <c r="M311" s="126"/>
      <c r="N311" s="126"/>
      <c r="O311" s="126"/>
    </row>
    <row r="312" ht="15.75" customHeight="1">
      <c r="A312" s="123">
        <v>2022.0</v>
      </c>
      <c r="B312" s="124" t="s">
        <v>133</v>
      </c>
      <c r="C312" s="124" t="s">
        <v>70</v>
      </c>
      <c r="D312" s="124" t="s">
        <v>25</v>
      </c>
      <c r="E312" s="124" t="s">
        <v>138</v>
      </c>
      <c r="F312" s="124" t="s">
        <v>137</v>
      </c>
      <c r="G312" s="124" t="s">
        <v>136</v>
      </c>
      <c r="H312" s="125">
        <v>2039.0</v>
      </c>
      <c r="I312" s="124" t="s">
        <v>21</v>
      </c>
      <c r="J312" s="126"/>
      <c r="K312" s="126"/>
      <c r="L312" s="126"/>
      <c r="M312" s="126"/>
      <c r="N312" s="126"/>
      <c r="O312" s="126"/>
    </row>
    <row r="313" ht="15.75" customHeight="1">
      <c r="A313" s="123">
        <v>2022.0</v>
      </c>
      <c r="B313" s="124" t="s">
        <v>133</v>
      </c>
      <c r="C313" s="124" t="s">
        <v>70</v>
      </c>
      <c r="D313" s="124" t="s">
        <v>26</v>
      </c>
      <c r="E313" s="124" t="s">
        <v>126</v>
      </c>
      <c r="F313" s="124" t="s">
        <v>137</v>
      </c>
      <c r="G313" s="124" t="s">
        <v>136</v>
      </c>
      <c r="H313" s="125">
        <v>0.0</v>
      </c>
      <c r="I313" s="124" t="s">
        <v>20</v>
      </c>
      <c r="J313" s="126"/>
      <c r="K313" s="126"/>
      <c r="L313" s="126"/>
      <c r="M313" s="126"/>
      <c r="N313" s="126"/>
      <c r="O313" s="126"/>
    </row>
    <row r="314" ht="15.75" customHeight="1">
      <c r="A314" s="130">
        <v>2022.0</v>
      </c>
      <c r="B314" s="130" t="s">
        <v>133</v>
      </c>
      <c r="C314" s="130" t="s">
        <v>70</v>
      </c>
      <c r="D314" s="130" t="s">
        <v>27</v>
      </c>
      <c r="E314" s="130" t="s">
        <v>138</v>
      </c>
      <c r="F314" s="130" t="s">
        <v>137</v>
      </c>
      <c r="G314" s="130" t="s">
        <v>136</v>
      </c>
      <c r="H314" s="132">
        <v>72.0</v>
      </c>
      <c r="I314" s="130" t="s">
        <v>22</v>
      </c>
      <c r="J314" s="126"/>
      <c r="K314" s="126"/>
      <c r="L314" s="126"/>
      <c r="M314" s="126"/>
      <c r="N314" s="126"/>
      <c r="O314" s="126"/>
    </row>
    <row r="315" ht="15.75" customHeight="1">
      <c r="A315" s="130">
        <v>2022.0</v>
      </c>
      <c r="B315" s="130" t="s">
        <v>133</v>
      </c>
      <c r="C315" s="130" t="s">
        <v>70</v>
      </c>
      <c r="D315" s="130" t="s">
        <v>27</v>
      </c>
      <c r="E315" s="130" t="s">
        <v>138</v>
      </c>
      <c r="F315" s="130" t="s">
        <v>137</v>
      </c>
      <c r="G315" s="130" t="s">
        <v>136</v>
      </c>
      <c r="H315" s="132">
        <v>2028.0</v>
      </c>
      <c r="I315" s="130" t="s">
        <v>20</v>
      </c>
      <c r="J315" s="126"/>
      <c r="K315" s="126"/>
      <c r="L315" s="126"/>
      <c r="M315" s="126"/>
      <c r="N315" s="126"/>
      <c r="O315" s="126"/>
    </row>
    <row r="316" ht="15.75" customHeight="1">
      <c r="A316" s="130">
        <v>2022.0</v>
      </c>
      <c r="B316" s="130" t="s">
        <v>133</v>
      </c>
      <c r="C316" s="130" t="s">
        <v>70</v>
      </c>
      <c r="D316" s="130" t="s">
        <v>27</v>
      </c>
      <c r="E316" s="130" t="s">
        <v>138</v>
      </c>
      <c r="F316" s="130" t="s">
        <v>137</v>
      </c>
      <c r="G316" s="130" t="s">
        <v>136</v>
      </c>
      <c r="H316" s="132">
        <v>2499.0</v>
      </c>
      <c r="I316" s="130" t="s">
        <v>21</v>
      </c>
      <c r="J316" s="126"/>
      <c r="K316" s="126"/>
      <c r="L316" s="126"/>
      <c r="M316" s="126"/>
      <c r="N316" s="126"/>
      <c r="O316" s="126"/>
    </row>
    <row r="317" ht="15.75" customHeight="1">
      <c r="A317" s="130">
        <v>2022.0</v>
      </c>
      <c r="B317" s="130" t="s">
        <v>133</v>
      </c>
      <c r="C317" s="130" t="s">
        <v>70</v>
      </c>
      <c r="D317" s="130" t="s">
        <v>25</v>
      </c>
      <c r="E317" s="130" t="s">
        <v>138</v>
      </c>
      <c r="F317" s="130" t="s">
        <v>127</v>
      </c>
      <c r="G317" s="130" t="s">
        <v>128</v>
      </c>
      <c r="H317" s="132">
        <v>47240.0</v>
      </c>
      <c r="I317" s="130" t="s">
        <v>20</v>
      </c>
      <c r="J317" s="126"/>
      <c r="K317" s="126"/>
      <c r="L317" s="126"/>
      <c r="M317" s="126"/>
      <c r="N317" s="126"/>
      <c r="O317" s="126"/>
    </row>
    <row r="318" ht="15.75" customHeight="1">
      <c r="A318" s="123">
        <v>2022.0</v>
      </c>
      <c r="B318" s="124" t="s">
        <v>133</v>
      </c>
      <c r="C318" s="124" t="s">
        <v>70</v>
      </c>
      <c r="D318" s="124" t="s">
        <v>26</v>
      </c>
      <c r="E318" s="124" t="s">
        <v>126</v>
      </c>
      <c r="F318" s="124" t="s">
        <v>127</v>
      </c>
      <c r="G318" s="124" t="s">
        <v>128</v>
      </c>
      <c r="H318" s="125">
        <v>15368.0</v>
      </c>
      <c r="I318" s="124" t="s">
        <v>20</v>
      </c>
      <c r="J318" s="126"/>
      <c r="K318" s="126"/>
      <c r="L318" s="126"/>
      <c r="M318" s="126"/>
      <c r="N318" s="126"/>
      <c r="O318" s="126"/>
    </row>
    <row r="319" ht="15.75" customHeight="1">
      <c r="A319" s="123">
        <v>2022.0</v>
      </c>
      <c r="B319" s="124" t="s">
        <v>133</v>
      </c>
      <c r="C319" s="124" t="s">
        <v>70</v>
      </c>
      <c r="D319" s="124" t="s">
        <v>27</v>
      </c>
      <c r="E319" s="124" t="s">
        <v>138</v>
      </c>
      <c r="F319" s="124" t="s">
        <v>127</v>
      </c>
      <c r="G319" s="124" t="s">
        <v>128</v>
      </c>
      <c r="H319" s="125">
        <v>52840.0</v>
      </c>
      <c r="I319" s="124" t="s">
        <v>20</v>
      </c>
      <c r="J319" s="126"/>
      <c r="K319" s="126"/>
      <c r="L319" s="126"/>
      <c r="M319" s="126"/>
      <c r="N319" s="126"/>
      <c r="O319" s="126"/>
    </row>
    <row r="320" ht="15.75" customHeight="1">
      <c r="A320" s="123">
        <v>2022.0</v>
      </c>
      <c r="B320" s="124" t="s">
        <v>133</v>
      </c>
      <c r="C320" s="124" t="s">
        <v>70</v>
      </c>
      <c r="D320" s="124" t="s">
        <v>27</v>
      </c>
      <c r="E320" s="124" t="s">
        <v>138</v>
      </c>
      <c r="F320" s="124" t="s">
        <v>127</v>
      </c>
      <c r="G320" s="124" t="s">
        <v>128</v>
      </c>
      <c r="H320" s="125">
        <v>2450.0</v>
      </c>
      <c r="I320" s="124" t="s">
        <v>23</v>
      </c>
      <c r="J320" s="126"/>
      <c r="K320" s="126"/>
      <c r="L320" s="126"/>
      <c r="M320" s="126"/>
      <c r="N320" s="126"/>
      <c r="O320" s="126"/>
    </row>
    <row r="321" ht="15.75" customHeight="1">
      <c r="A321" s="123">
        <v>2022.0</v>
      </c>
      <c r="B321" s="124" t="s">
        <v>125</v>
      </c>
      <c r="C321" s="124" t="s">
        <v>71</v>
      </c>
      <c r="D321" s="124" t="s">
        <v>25</v>
      </c>
      <c r="E321" s="124" t="s">
        <v>138</v>
      </c>
      <c r="F321" s="124" t="s">
        <v>112</v>
      </c>
      <c r="G321" s="124" t="s">
        <v>128</v>
      </c>
      <c r="H321" s="125">
        <v>7643.0</v>
      </c>
      <c r="I321" s="124" t="s">
        <v>20</v>
      </c>
      <c r="J321" s="126"/>
      <c r="K321" s="126"/>
      <c r="L321" s="126"/>
      <c r="M321" s="126"/>
      <c r="N321" s="126"/>
      <c r="O321" s="126"/>
    </row>
    <row r="322" ht="15.75" customHeight="1">
      <c r="A322" s="123">
        <v>2022.0</v>
      </c>
      <c r="B322" s="124" t="s">
        <v>125</v>
      </c>
      <c r="C322" s="124" t="s">
        <v>71</v>
      </c>
      <c r="D322" s="124" t="s">
        <v>26</v>
      </c>
      <c r="E322" s="124" t="s">
        <v>126</v>
      </c>
      <c r="F322" s="124" t="s">
        <v>112</v>
      </c>
      <c r="G322" s="124" t="s">
        <v>128</v>
      </c>
      <c r="H322" s="125">
        <v>883.0</v>
      </c>
      <c r="I322" s="124" t="s">
        <v>20</v>
      </c>
      <c r="J322" s="126"/>
      <c r="K322" s="126"/>
      <c r="L322" s="126"/>
      <c r="M322" s="126"/>
      <c r="N322" s="126"/>
      <c r="O322" s="126"/>
    </row>
    <row r="323" ht="15.75" customHeight="1">
      <c r="A323" s="123">
        <v>2022.0</v>
      </c>
      <c r="B323" s="124" t="s">
        <v>125</v>
      </c>
      <c r="C323" s="124" t="s">
        <v>71</v>
      </c>
      <c r="D323" s="124" t="s">
        <v>27</v>
      </c>
      <c r="E323" s="124" t="s">
        <v>138</v>
      </c>
      <c r="F323" s="124" t="s">
        <v>112</v>
      </c>
      <c r="G323" s="124" t="s">
        <v>128</v>
      </c>
      <c r="H323" s="125">
        <v>4734.0</v>
      </c>
      <c r="I323" s="124" t="s">
        <v>20</v>
      </c>
      <c r="J323" s="126"/>
      <c r="K323" s="126"/>
      <c r="L323" s="126"/>
      <c r="M323" s="126"/>
      <c r="N323" s="126"/>
      <c r="O323" s="126"/>
    </row>
    <row r="324" ht="15.75" customHeight="1">
      <c r="A324" s="123">
        <v>2022.0</v>
      </c>
      <c r="B324" s="124" t="s">
        <v>125</v>
      </c>
      <c r="C324" s="124" t="s">
        <v>71</v>
      </c>
      <c r="D324" s="124" t="s">
        <v>25</v>
      </c>
      <c r="E324" s="124" t="s">
        <v>138</v>
      </c>
      <c r="F324" s="124" t="s">
        <v>135</v>
      </c>
      <c r="G324" s="124" t="s">
        <v>136</v>
      </c>
      <c r="H324" s="125">
        <v>35130.0</v>
      </c>
      <c r="I324" s="124" t="s">
        <v>21</v>
      </c>
      <c r="J324" s="126"/>
      <c r="K324" s="126"/>
      <c r="L324" s="126"/>
      <c r="M324" s="126"/>
      <c r="N324" s="126"/>
      <c r="O324" s="126"/>
    </row>
    <row r="325" ht="15.75" customHeight="1">
      <c r="A325" s="123">
        <v>2022.0</v>
      </c>
      <c r="B325" s="124" t="s">
        <v>125</v>
      </c>
      <c r="C325" s="124" t="s">
        <v>71</v>
      </c>
      <c r="D325" s="124" t="s">
        <v>26</v>
      </c>
      <c r="E325" s="124" t="s">
        <v>126</v>
      </c>
      <c r="F325" s="124" t="s">
        <v>135</v>
      </c>
      <c r="G325" s="124" t="s">
        <v>136</v>
      </c>
      <c r="H325" s="125">
        <v>0.0</v>
      </c>
      <c r="I325" s="124" t="s">
        <v>20</v>
      </c>
      <c r="J325" s="126"/>
      <c r="K325" s="126"/>
      <c r="L325" s="126"/>
      <c r="M325" s="126"/>
      <c r="N325" s="126"/>
      <c r="O325" s="126"/>
    </row>
    <row r="326" ht="15.75" customHeight="1">
      <c r="A326" s="123">
        <v>2022.0</v>
      </c>
      <c r="B326" s="124" t="s">
        <v>125</v>
      </c>
      <c r="C326" s="124" t="s">
        <v>71</v>
      </c>
      <c r="D326" s="124" t="s">
        <v>27</v>
      </c>
      <c r="E326" s="124" t="s">
        <v>138</v>
      </c>
      <c r="F326" s="124" t="s">
        <v>135</v>
      </c>
      <c r="G326" s="124" t="s">
        <v>136</v>
      </c>
      <c r="H326" s="125">
        <v>85446.0</v>
      </c>
      <c r="I326" s="124" t="s">
        <v>21</v>
      </c>
      <c r="J326" s="126"/>
      <c r="K326" s="126"/>
      <c r="L326" s="126"/>
      <c r="M326" s="126"/>
      <c r="N326" s="126"/>
      <c r="O326" s="126"/>
    </row>
    <row r="327" ht="15.75" customHeight="1">
      <c r="A327" s="123">
        <v>2022.0</v>
      </c>
      <c r="B327" s="124" t="s">
        <v>125</v>
      </c>
      <c r="C327" s="124" t="s">
        <v>71</v>
      </c>
      <c r="D327" s="124" t="s">
        <v>25</v>
      </c>
      <c r="E327" s="124" t="s">
        <v>138</v>
      </c>
      <c r="F327" s="124" t="s">
        <v>134</v>
      </c>
      <c r="G327" s="124" t="s">
        <v>134</v>
      </c>
      <c r="H327" s="125">
        <v>15728.0</v>
      </c>
      <c r="I327" s="124" t="s">
        <v>21</v>
      </c>
      <c r="J327" s="126"/>
      <c r="K327" s="126"/>
      <c r="L327" s="126"/>
      <c r="M327" s="126"/>
      <c r="N327" s="126"/>
      <c r="O327" s="126"/>
    </row>
    <row r="328" ht="15.75" customHeight="1">
      <c r="A328" s="123">
        <v>2022.0</v>
      </c>
      <c r="B328" s="124" t="s">
        <v>125</v>
      </c>
      <c r="C328" s="124" t="s">
        <v>71</v>
      </c>
      <c r="D328" s="124" t="s">
        <v>26</v>
      </c>
      <c r="E328" s="124" t="s">
        <v>126</v>
      </c>
      <c r="F328" s="124" t="s">
        <v>134</v>
      </c>
      <c r="G328" s="124" t="s">
        <v>134</v>
      </c>
      <c r="H328" s="125">
        <v>6.0</v>
      </c>
      <c r="I328" s="124" t="s">
        <v>20</v>
      </c>
      <c r="J328" s="126"/>
      <c r="K328" s="126"/>
      <c r="L328" s="126"/>
      <c r="M328" s="126"/>
      <c r="N328" s="126"/>
      <c r="O328" s="126"/>
    </row>
    <row r="329" ht="15.75" customHeight="1">
      <c r="A329" s="123">
        <v>2022.0</v>
      </c>
      <c r="B329" s="124" t="s">
        <v>125</v>
      </c>
      <c r="C329" s="124" t="s">
        <v>71</v>
      </c>
      <c r="D329" s="124" t="s">
        <v>27</v>
      </c>
      <c r="E329" s="124" t="s">
        <v>138</v>
      </c>
      <c r="F329" s="124" t="s">
        <v>134</v>
      </c>
      <c r="G329" s="124" t="s">
        <v>134</v>
      </c>
      <c r="H329" s="125">
        <v>15000.0</v>
      </c>
      <c r="I329" s="124" t="s">
        <v>22</v>
      </c>
      <c r="J329" s="126"/>
      <c r="K329" s="126"/>
      <c r="L329" s="126"/>
      <c r="M329" s="126"/>
      <c r="N329" s="126"/>
      <c r="O329" s="126"/>
    </row>
    <row r="330" ht="15.75" customHeight="1">
      <c r="A330" s="123">
        <v>2022.0</v>
      </c>
      <c r="B330" s="124" t="s">
        <v>125</v>
      </c>
      <c r="C330" s="124" t="s">
        <v>71</v>
      </c>
      <c r="D330" s="124" t="s">
        <v>27</v>
      </c>
      <c r="E330" s="124" t="s">
        <v>138</v>
      </c>
      <c r="F330" s="124" t="s">
        <v>134</v>
      </c>
      <c r="G330" s="124" t="s">
        <v>134</v>
      </c>
      <c r="H330" s="125">
        <v>23570.0</v>
      </c>
      <c r="I330" s="124" t="s">
        <v>21</v>
      </c>
      <c r="J330" s="126"/>
      <c r="K330" s="126"/>
      <c r="L330" s="126"/>
      <c r="M330" s="126"/>
      <c r="N330" s="126"/>
      <c r="O330" s="126"/>
    </row>
    <row r="331" ht="15.75" customHeight="1">
      <c r="A331" s="123">
        <v>2022.0</v>
      </c>
      <c r="B331" s="124" t="s">
        <v>125</v>
      </c>
      <c r="C331" s="124" t="s">
        <v>71</v>
      </c>
      <c r="D331" s="124" t="s">
        <v>25</v>
      </c>
      <c r="E331" s="124" t="s">
        <v>138</v>
      </c>
      <c r="F331" s="124" t="s">
        <v>137</v>
      </c>
      <c r="G331" s="124" t="s">
        <v>136</v>
      </c>
      <c r="H331" s="125">
        <v>4671.0</v>
      </c>
      <c r="I331" s="124" t="s">
        <v>20</v>
      </c>
      <c r="J331" s="126"/>
      <c r="K331" s="126"/>
      <c r="L331" s="126"/>
      <c r="M331" s="126"/>
      <c r="N331" s="126"/>
      <c r="O331" s="126"/>
    </row>
    <row r="332" ht="15.75" customHeight="1">
      <c r="A332" s="123">
        <v>2022.0</v>
      </c>
      <c r="B332" s="124" t="s">
        <v>125</v>
      </c>
      <c r="C332" s="124" t="s">
        <v>71</v>
      </c>
      <c r="D332" s="124" t="s">
        <v>25</v>
      </c>
      <c r="E332" s="124" t="s">
        <v>138</v>
      </c>
      <c r="F332" s="124" t="s">
        <v>137</v>
      </c>
      <c r="G332" s="124" t="s">
        <v>136</v>
      </c>
      <c r="H332" s="125">
        <v>6819.0</v>
      </c>
      <c r="I332" s="124" t="s">
        <v>21</v>
      </c>
      <c r="J332" s="126"/>
      <c r="K332" s="126"/>
      <c r="L332" s="126"/>
      <c r="M332" s="126"/>
      <c r="N332" s="126"/>
      <c r="O332" s="126"/>
    </row>
    <row r="333" ht="15.75" customHeight="1">
      <c r="A333" s="130">
        <v>2022.0</v>
      </c>
      <c r="B333" s="130" t="s">
        <v>125</v>
      </c>
      <c r="C333" s="130" t="s">
        <v>71</v>
      </c>
      <c r="D333" s="130" t="s">
        <v>26</v>
      </c>
      <c r="E333" s="130" t="s">
        <v>126</v>
      </c>
      <c r="F333" s="130" t="s">
        <v>137</v>
      </c>
      <c r="G333" s="130" t="s">
        <v>136</v>
      </c>
      <c r="H333" s="132">
        <v>0.0</v>
      </c>
      <c r="I333" s="130" t="s">
        <v>20</v>
      </c>
      <c r="J333" s="126"/>
      <c r="K333" s="126"/>
      <c r="L333" s="126"/>
      <c r="M333" s="126"/>
      <c r="N333" s="126"/>
      <c r="O333" s="126"/>
    </row>
    <row r="334" ht="15.75" customHeight="1">
      <c r="A334" s="130">
        <v>2022.0</v>
      </c>
      <c r="B334" s="130" t="s">
        <v>125</v>
      </c>
      <c r="C334" s="130" t="s">
        <v>71</v>
      </c>
      <c r="D334" s="130" t="s">
        <v>27</v>
      </c>
      <c r="E334" s="130" t="s">
        <v>138</v>
      </c>
      <c r="F334" s="130" t="s">
        <v>137</v>
      </c>
      <c r="G334" s="130" t="s">
        <v>136</v>
      </c>
      <c r="H334" s="132">
        <v>397.0</v>
      </c>
      <c r="I334" s="130" t="s">
        <v>22</v>
      </c>
      <c r="J334" s="126"/>
      <c r="K334" s="126"/>
      <c r="L334" s="126"/>
      <c r="M334" s="126"/>
      <c r="N334" s="126"/>
      <c r="O334" s="126"/>
    </row>
    <row r="335" ht="15.75" customHeight="1">
      <c r="A335" s="130">
        <v>2022.0</v>
      </c>
      <c r="B335" s="130" t="s">
        <v>125</v>
      </c>
      <c r="C335" s="130" t="s">
        <v>71</v>
      </c>
      <c r="D335" s="130" t="s">
        <v>27</v>
      </c>
      <c r="E335" s="130" t="s">
        <v>138</v>
      </c>
      <c r="F335" s="130" t="s">
        <v>137</v>
      </c>
      <c r="G335" s="130" t="s">
        <v>136</v>
      </c>
      <c r="H335" s="132">
        <v>4040.0</v>
      </c>
      <c r="I335" s="130" t="s">
        <v>20</v>
      </c>
      <c r="J335" s="126"/>
      <c r="K335" s="126"/>
      <c r="L335" s="126"/>
      <c r="M335" s="126"/>
      <c r="N335" s="126"/>
      <c r="O335" s="126"/>
    </row>
    <row r="336" ht="15.75" customHeight="1">
      <c r="A336" s="130">
        <v>2022.0</v>
      </c>
      <c r="B336" s="130" t="s">
        <v>125</v>
      </c>
      <c r="C336" s="130" t="s">
        <v>71</v>
      </c>
      <c r="D336" s="130" t="s">
        <v>27</v>
      </c>
      <c r="E336" s="130" t="s">
        <v>138</v>
      </c>
      <c r="F336" s="130" t="s">
        <v>137</v>
      </c>
      <c r="G336" s="130" t="s">
        <v>136</v>
      </c>
      <c r="H336" s="132">
        <v>12547.0</v>
      </c>
      <c r="I336" s="130" t="s">
        <v>21</v>
      </c>
      <c r="J336" s="126"/>
      <c r="K336" s="126"/>
      <c r="L336" s="126"/>
      <c r="M336" s="126"/>
      <c r="N336" s="126"/>
      <c r="O336" s="126"/>
    </row>
    <row r="337" ht="15.75" customHeight="1">
      <c r="A337" s="123">
        <v>2022.0</v>
      </c>
      <c r="B337" s="124" t="s">
        <v>125</v>
      </c>
      <c r="C337" s="124" t="s">
        <v>71</v>
      </c>
      <c r="D337" s="124" t="s">
        <v>25</v>
      </c>
      <c r="E337" s="124" t="s">
        <v>138</v>
      </c>
      <c r="F337" s="124" t="s">
        <v>127</v>
      </c>
      <c r="G337" s="124" t="s">
        <v>128</v>
      </c>
      <c r="H337" s="125">
        <v>52000.0</v>
      </c>
      <c r="I337" s="124" t="s">
        <v>20</v>
      </c>
      <c r="J337" s="126"/>
      <c r="K337" s="126"/>
      <c r="L337" s="126"/>
      <c r="M337" s="126"/>
      <c r="N337" s="126"/>
      <c r="O337" s="126"/>
    </row>
    <row r="338" ht="15.75" customHeight="1">
      <c r="A338" s="123">
        <v>2022.0</v>
      </c>
      <c r="B338" s="124" t="s">
        <v>125</v>
      </c>
      <c r="C338" s="124" t="s">
        <v>71</v>
      </c>
      <c r="D338" s="124" t="s">
        <v>26</v>
      </c>
      <c r="E338" s="124" t="s">
        <v>126</v>
      </c>
      <c r="F338" s="124" t="s">
        <v>127</v>
      </c>
      <c r="G338" s="124" t="s">
        <v>128</v>
      </c>
      <c r="H338" s="125">
        <v>17783.0</v>
      </c>
      <c r="I338" s="124" t="s">
        <v>20</v>
      </c>
      <c r="J338" s="126"/>
      <c r="K338" s="126"/>
      <c r="L338" s="126"/>
      <c r="M338" s="126"/>
      <c r="N338" s="126"/>
      <c r="O338" s="126"/>
    </row>
    <row r="339" ht="15.75" customHeight="1">
      <c r="A339" s="123">
        <v>2022.0</v>
      </c>
      <c r="B339" s="124" t="s">
        <v>125</v>
      </c>
      <c r="C339" s="124" t="s">
        <v>71</v>
      </c>
      <c r="D339" s="124" t="s">
        <v>27</v>
      </c>
      <c r="E339" s="124" t="s">
        <v>138</v>
      </c>
      <c r="F339" s="124" t="s">
        <v>127</v>
      </c>
      <c r="G339" s="124" t="s">
        <v>128</v>
      </c>
      <c r="H339" s="125">
        <v>49033.0</v>
      </c>
      <c r="I339" s="124" t="s">
        <v>20</v>
      </c>
      <c r="J339" s="126"/>
      <c r="K339" s="126"/>
      <c r="L339" s="126"/>
      <c r="M339" s="126"/>
      <c r="N339" s="126"/>
      <c r="O339" s="126"/>
    </row>
    <row r="340" ht="15.75" customHeight="1">
      <c r="A340" s="123">
        <v>2022.0</v>
      </c>
      <c r="B340" s="124" t="s">
        <v>125</v>
      </c>
      <c r="C340" s="124" t="s">
        <v>71</v>
      </c>
      <c r="D340" s="124" t="s">
        <v>27</v>
      </c>
      <c r="E340" s="124" t="s">
        <v>138</v>
      </c>
      <c r="F340" s="124" t="s">
        <v>127</v>
      </c>
      <c r="G340" s="124" t="s">
        <v>128</v>
      </c>
      <c r="H340" s="125">
        <v>8400.0</v>
      </c>
      <c r="I340" s="124" t="s">
        <v>23</v>
      </c>
      <c r="J340" s="126"/>
      <c r="K340" s="126"/>
      <c r="L340" s="126"/>
      <c r="M340" s="126"/>
      <c r="N340" s="126"/>
      <c r="O340" s="126"/>
    </row>
    <row r="341" ht="15.75" customHeight="1">
      <c r="A341" s="123">
        <v>2022.0</v>
      </c>
      <c r="B341" s="124" t="s">
        <v>129</v>
      </c>
      <c r="C341" s="124" t="s">
        <v>72</v>
      </c>
      <c r="D341" s="124" t="s">
        <v>25</v>
      </c>
      <c r="E341" s="124" t="s">
        <v>138</v>
      </c>
      <c r="F341" s="124" t="s">
        <v>112</v>
      </c>
      <c r="G341" s="124" t="s">
        <v>128</v>
      </c>
      <c r="H341" s="125">
        <v>4394.0</v>
      </c>
      <c r="I341" s="124" t="s">
        <v>20</v>
      </c>
      <c r="J341" s="126"/>
      <c r="K341" s="126"/>
      <c r="L341" s="126"/>
      <c r="M341" s="126"/>
      <c r="N341" s="126"/>
      <c r="O341" s="126"/>
    </row>
    <row r="342" ht="15.75" customHeight="1">
      <c r="A342" s="123">
        <v>2022.0</v>
      </c>
      <c r="B342" s="124" t="s">
        <v>129</v>
      </c>
      <c r="C342" s="124" t="s">
        <v>72</v>
      </c>
      <c r="D342" s="124" t="s">
        <v>26</v>
      </c>
      <c r="E342" s="124" t="s">
        <v>126</v>
      </c>
      <c r="F342" s="124" t="s">
        <v>112</v>
      </c>
      <c r="G342" s="124" t="s">
        <v>128</v>
      </c>
      <c r="H342" s="125">
        <v>669.0</v>
      </c>
      <c r="I342" s="124" t="s">
        <v>20</v>
      </c>
      <c r="J342" s="126"/>
      <c r="K342" s="126"/>
      <c r="L342" s="126"/>
      <c r="M342" s="126"/>
      <c r="N342" s="126"/>
      <c r="O342" s="126"/>
    </row>
    <row r="343" ht="15.75" customHeight="1">
      <c r="A343" s="123">
        <v>2022.0</v>
      </c>
      <c r="B343" s="124" t="s">
        <v>129</v>
      </c>
      <c r="C343" s="124" t="s">
        <v>72</v>
      </c>
      <c r="D343" s="124" t="s">
        <v>27</v>
      </c>
      <c r="E343" s="124" t="s">
        <v>138</v>
      </c>
      <c r="F343" s="124" t="s">
        <v>112</v>
      </c>
      <c r="G343" s="124" t="s">
        <v>128</v>
      </c>
      <c r="H343" s="125">
        <v>3823.0</v>
      </c>
      <c r="I343" s="124" t="s">
        <v>20</v>
      </c>
      <c r="J343" s="126"/>
      <c r="K343" s="126"/>
      <c r="L343" s="126"/>
      <c r="M343" s="126"/>
      <c r="N343" s="126"/>
      <c r="O343" s="126"/>
    </row>
    <row r="344" ht="15.75" customHeight="1">
      <c r="A344" s="123">
        <v>2022.0</v>
      </c>
      <c r="B344" s="124" t="s">
        <v>129</v>
      </c>
      <c r="C344" s="124" t="s">
        <v>72</v>
      </c>
      <c r="D344" s="124" t="s">
        <v>25</v>
      </c>
      <c r="E344" s="124" t="s">
        <v>138</v>
      </c>
      <c r="F344" s="124" t="s">
        <v>135</v>
      </c>
      <c r="G344" s="124" t="s">
        <v>136</v>
      </c>
      <c r="H344" s="125">
        <v>25417.0</v>
      </c>
      <c r="I344" s="124" t="s">
        <v>21</v>
      </c>
      <c r="J344" s="126"/>
      <c r="K344" s="126"/>
      <c r="L344" s="126"/>
      <c r="M344" s="126"/>
      <c r="N344" s="126"/>
      <c r="O344" s="126"/>
    </row>
    <row r="345" ht="15.75" customHeight="1">
      <c r="A345" s="123">
        <v>2022.0</v>
      </c>
      <c r="B345" s="124" t="s">
        <v>129</v>
      </c>
      <c r="C345" s="124" t="s">
        <v>72</v>
      </c>
      <c r="D345" s="124" t="s">
        <v>26</v>
      </c>
      <c r="E345" s="124" t="s">
        <v>126</v>
      </c>
      <c r="F345" s="124" t="s">
        <v>135</v>
      </c>
      <c r="G345" s="124" t="s">
        <v>136</v>
      </c>
      <c r="H345" s="125">
        <v>0.0</v>
      </c>
      <c r="I345" s="124" t="s">
        <v>20</v>
      </c>
      <c r="J345" s="126"/>
      <c r="K345" s="126"/>
      <c r="L345" s="126"/>
      <c r="M345" s="126"/>
      <c r="N345" s="126"/>
      <c r="O345" s="126"/>
    </row>
    <row r="346" ht="15.75" customHeight="1">
      <c r="A346" s="123">
        <v>2022.0</v>
      </c>
      <c r="B346" s="124" t="s">
        <v>129</v>
      </c>
      <c r="C346" s="124" t="s">
        <v>72</v>
      </c>
      <c r="D346" s="124" t="s">
        <v>27</v>
      </c>
      <c r="E346" s="124" t="s">
        <v>138</v>
      </c>
      <c r="F346" s="124" t="s">
        <v>135</v>
      </c>
      <c r="G346" s="124" t="s">
        <v>136</v>
      </c>
      <c r="H346" s="125">
        <v>96202.0</v>
      </c>
      <c r="I346" s="124" t="s">
        <v>21</v>
      </c>
      <c r="J346" s="126"/>
      <c r="K346" s="126"/>
      <c r="L346" s="126"/>
      <c r="M346" s="126"/>
      <c r="N346" s="126"/>
      <c r="O346" s="126"/>
    </row>
    <row r="347" ht="15.75" customHeight="1">
      <c r="A347" s="123">
        <v>2022.0</v>
      </c>
      <c r="B347" s="124" t="s">
        <v>129</v>
      </c>
      <c r="C347" s="124" t="s">
        <v>72</v>
      </c>
      <c r="D347" s="124" t="s">
        <v>25</v>
      </c>
      <c r="E347" s="124" t="s">
        <v>138</v>
      </c>
      <c r="F347" s="124" t="s">
        <v>134</v>
      </c>
      <c r="G347" s="124" t="s">
        <v>134</v>
      </c>
      <c r="H347" s="125">
        <v>36480.0</v>
      </c>
      <c r="I347" s="124" t="s">
        <v>21</v>
      </c>
      <c r="J347" s="126"/>
      <c r="K347" s="126"/>
      <c r="L347" s="126"/>
      <c r="M347" s="126"/>
      <c r="N347" s="126"/>
      <c r="O347" s="126"/>
    </row>
    <row r="348" ht="15.75" customHeight="1">
      <c r="A348" s="123">
        <v>2022.0</v>
      </c>
      <c r="B348" s="124" t="s">
        <v>129</v>
      </c>
      <c r="C348" s="124" t="s">
        <v>72</v>
      </c>
      <c r="D348" s="124" t="s">
        <v>26</v>
      </c>
      <c r="E348" s="124" t="s">
        <v>126</v>
      </c>
      <c r="F348" s="124" t="s">
        <v>134</v>
      </c>
      <c r="G348" s="124" t="s">
        <v>134</v>
      </c>
      <c r="H348" s="125">
        <v>2884.0</v>
      </c>
      <c r="I348" s="124" t="s">
        <v>20</v>
      </c>
      <c r="J348" s="126"/>
      <c r="K348" s="126"/>
      <c r="L348" s="126"/>
      <c r="M348" s="126"/>
      <c r="N348" s="126"/>
      <c r="O348" s="126"/>
    </row>
    <row r="349" ht="15.75" customHeight="1">
      <c r="A349" s="123">
        <v>2022.0</v>
      </c>
      <c r="B349" s="124" t="s">
        <v>129</v>
      </c>
      <c r="C349" s="124" t="s">
        <v>72</v>
      </c>
      <c r="D349" s="124" t="s">
        <v>27</v>
      </c>
      <c r="E349" s="124" t="s">
        <v>138</v>
      </c>
      <c r="F349" s="124" t="s">
        <v>134</v>
      </c>
      <c r="G349" s="124" t="s">
        <v>134</v>
      </c>
      <c r="H349" s="125">
        <v>17500.0</v>
      </c>
      <c r="I349" s="124" t="s">
        <v>22</v>
      </c>
      <c r="J349" s="126"/>
      <c r="K349" s="126"/>
      <c r="L349" s="126"/>
      <c r="M349" s="126"/>
      <c r="N349" s="126"/>
      <c r="O349" s="126"/>
    </row>
    <row r="350" ht="15.75" customHeight="1">
      <c r="A350" s="123">
        <v>2022.0</v>
      </c>
      <c r="B350" s="124" t="s">
        <v>129</v>
      </c>
      <c r="C350" s="124" t="s">
        <v>72</v>
      </c>
      <c r="D350" s="124" t="s">
        <v>27</v>
      </c>
      <c r="E350" s="124" t="s">
        <v>138</v>
      </c>
      <c r="F350" s="124" t="s">
        <v>134</v>
      </c>
      <c r="G350" s="124" t="s">
        <v>134</v>
      </c>
      <c r="H350" s="125">
        <v>36973.0</v>
      </c>
      <c r="I350" s="124" t="s">
        <v>21</v>
      </c>
      <c r="J350" s="126"/>
      <c r="K350" s="126"/>
      <c r="L350" s="126"/>
      <c r="M350" s="126"/>
      <c r="N350" s="126"/>
      <c r="O350" s="126"/>
    </row>
    <row r="351" ht="15.75" customHeight="1">
      <c r="A351" s="123">
        <v>2022.0</v>
      </c>
      <c r="B351" s="124" t="s">
        <v>129</v>
      </c>
      <c r="C351" s="124" t="s">
        <v>72</v>
      </c>
      <c r="D351" s="124" t="s">
        <v>25</v>
      </c>
      <c r="E351" s="124" t="s">
        <v>138</v>
      </c>
      <c r="F351" s="124" t="s">
        <v>137</v>
      </c>
      <c r="G351" s="124" t="s">
        <v>136</v>
      </c>
      <c r="H351" s="125">
        <v>1343.0</v>
      </c>
      <c r="I351" s="124" t="s">
        <v>20</v>
      </c>
      <c r="J351" s="126"/>
      <c r="K351" s="126"/>
      <c r="L351" s="126"/>
      <c r="M351" s="126"/>
      <c r="N351" s="126"/>
      <c r="O351" s="126"/>
    </row>
    <row r="352" ht="15.75" customHeight="1">
      <c r="A352" s="123">
        <v>2022.0</v>
      </c>
      <c r="B352" s="124" t="s">
        <v>129</v>
      </c>
      <c r="C352" s="124" t="s">
        <v>72</v>
      </c>
      <c r="D352" s="124" t="s">
        <v>25</v>
      </c>
      <c r="E352" s="124" t="s">
        <v>138</v>
      </c>
      <c r="F352" s="124" t="s">
        <v>137</v>
      </c>
      <c r="G352" s="124" t="s">
        <v>136</v>
      </c>
      <c r="H352" s="125">
        <v>7757.0</v>
      </c>
      <c r="I352" s="124" t="s">
        <v>21</v>
      </c>
      <c r="J352" s="126"/>
      <c r="K352" s="126"/>
      <c r="L352" s="126"/>
      <c r="M352" s="126"/>
      <c r="N352" s="126"/>
      <c r="O352" s="126"/>
    </row>
    <row r="353" ht="15.75" customHeight="1">
      <c r="A353" s="130">
        <v>2022.0</v>
      </c>
      <c r="B353" s="130" t="s">
        <v>129</v>
      </c>
      <c r="C353" s="130" t="s">
        <v>72</v>
      </c>
      <c r="D353" s="130" t="s">
        <v>26</v>
      </c>
      <c r="E353" s="130" t="s">
        <v>126</v>
      </c>
      <c r="F353" s="130" t="s">
        <v>137</v>
      </c>
      <c r="G353" s="130" t="s">
        <v>136</v>
      </c>
      <c r="H353" s="132">
        <v>255.0</v>
      </c>
      <c r="I353" s="130" t="s">
        <v>20</v>
      </c>
      <c r="J353" s="126"/>
      <c r="K353" s="126"/>
      <c r="L353" s="126"/>
      <c r="M353" s="126"/>
      <c r="N353" s="126"/>
      <c r="O353" s="126"/>
    </row>
    <row r="354" ht="15.75" customHeight="1">
      <c r="A354" s="130">
        <v>2022.0</v>
      </c>
      <c r="B354" s="130" t="s">
        <v>129</v>
      </c>
      <c r="C354" s="130" t="s">
        <v>72</v>
      </c>
      <c r="D354" s="130" t="s">
        <v>27</v>
      </c>
      <c r="E354" s="130" t="s">
        <v>138</v>
      </c>
      <c r="F354" s="130" t="s">
        <v>137</v>
      </c>
      <c r="G354" s="130" t="s">
        <v>136</v>
      </c>
      <c r="H354" s="132">
        <v>4227.0</v>
      </c>
      <c r="I354" s="130" t="s">
        <v>22</v>
      </c>
      <c r="J354" s="126"/>
      <c r="K354" s="126"/>
      <c r="L354" s="126"/>
      <c r="M354" s="126"/>
      <c r="N354" s="126"/>
      <c r="O354" s="126"/>
    </row>
    <row r="355" ht="15.75" customHeight="1">
      <c r="A355" s="130">
        <v>2022.0</v>
      </c>
      <c r="B355" s="130" t="s">
        <v>129</v>
      </c>
      <c r="C355" s="130" t="s">
        <v>72</v>
      </c>
      <c r="D355" s="130" t="s">
        <v>27</v>
      </c>
      <c r="E355" s="130" t="s">
        <v>138</v>
      </c>
      <c r="F355" s="130" t="s">
        <v>137</v>
      </c>
      <c r="G355" s="130" t="s">
        <v>136</v>
      </c>
      <c r="H355" s="132">
        <v>1176.0</v>
      </c>
      <c r="I355" s="130" t="s">
        <v>20</v>
      </c>
      <c r="J355" s="126"/>
      <c r="K355" s="126"/>
      <c r="L355" s="126"/>
      <c r="M355" s="126"/>
      <c r="N355" s="126"/>
      <c r="O355" s="126"/>
    </row>
    <row r="356" ht="15.75" customHeight="1">
      <c r="A356" s="130">
        <v>2022.0</v>
      </c>
      <c r="B356" s="130" t="s">
        <v>129</v>
      </c>
      <c r="C356" s="130" t="s">
        <v>72</v>
      </c>
      <c r="D356" s="130" t="s">
        <v>27</v>
      </c>
      <c r="E356" s="130" t="s">
        <v>138</v>
      </c>
      <c r="F356" s="130" t="s">
        <v>137</v>
      </c>
      <c r="G356" s="130" t="s">
        <v>136</v>
      </c>
      <c r="H356" s="132">
        <v>12287.0</v>
      </c>
      <c r="I356" s="130" t="s">
        <v>21</v>
      </c>
      <c r="J356" s="126"/>
      <c r="K356" s="126"/>
      <c r="L356" s="126"/>
      <c r="M356" s="126"/>
      <c r="N356" s="126"/>
      <c r="O356" s="126"/>
    </row>
    <row r="357" ht="15.75" customHeight="1">
      <c r="A357" s="130">
        <v>2022.0</v>
      </c>
      <c r="B357" s="130" t="s">
        <v>129</v>
      </c>
      <c r="C357" s="130" t="s">
        <v>72</v>
      </c>
      <c r="D357" s="130" t="s">
        <v>25</v>
      </c>
      <c r="E357" s="130" t="s">
        <v>138</v>
      </c>
      <c r="F357" s="130" t="s">
        <v>127</v>
      </c>
      <c r="G357" s="130" t="s">
        <v>128</v>
      </c>
      <c r="H357" s="132">
        <v>54500.0</v>
      </c>
      <c r="I357" s="130" t="s">
        <v>20</v>
      </c>
      <c r="J357" s="126"/>
      <c r="K357" s="126"/>
      <c r="L357" s="126"/>
      <c r="M357" s="126"/>
      <c r="N357" s="126"/>
      <c r="O357" s="126"/>
    </row>
    <row r="358" ht="15.75" customHeight="1">
      <c r="A358" s="130">
        <v>2022.0</v>
      </c>
      <c r="B358" s="130" t="s">
        <v>129</v>
      </c>
      <c r="C358" s="130" t="s">
        <v>72</v>
      </c>
      <c r="D358" s="130" t="s">
        <v>26</v>
      </c>
      <c r="E358" s="130" t="s">
        <v>126</v>
      </c>
      <c r="F358" s="130" t="s">
        <v>127</v>
      </c>
      <c r="G358" s="130" t="s">
        <v>128</v>
      </c>
      <c r="H358" s="132">
        <v>13339.0</v>
      </c>
      <c r="I358" s="130" t="s">
        <v>20</v>
      </c>
      <c r="J358" s="126"/>
      <c r="K358" s="126"/>
      <c r="L358" s="126"/>
      <c r="M358" s="126"/>
      <c r="N358" s="126"/>
      <c r="O358" s="126"/>
    </row>
    <row r="359" ht="15.75" customHeight="1">
      <c r="A359" s="130">
        <v>2022.0</v>
      </c>
      <c r="B359" s="130" t="s">
        <v>129</v>
      </c>
      <c r="C359" s="130" t="s">
        <v>72</v>
      </c>
      <c r="D359" s="130" t="s">
        <v>27</v>
      </c>
      <c r="E359" s="130" t="s">
        <v>138</v>
      </c>
      <c r="F359" s="130" t="s">
        <v>127</v>
      </c>
      <c r="G359" s="130" t="s">
        <v>128</v>
      </c>
      <c r="H359" s="132">
        <v>58152.0</v>
      </c>
      <c r="I359" s="130" t="s">
        <v>20</v>
      </c>
      <c r="J359" s="126"/>
      <c r="K359" s="126"/>
      <c r="L359" s="126"/>
      <c r="M359" s="126"/>
      <c r="N359" s="126"/>
      <c r="O359" s="126"/>
    </row>
    <row r="360" ht="15.75" customHeight="1">
      <c r="A360" s="130">
        <v>2022.0</v>
      </c>
      <c r="B360" s="130" t="s">
        <v>129</v>
      </c>
      <c r="C360" s="130" t="s">
        <v>72</v>
      </c>
      <c r="D360" s="130" t="s">
        <v>27</v>
      </c>
      <c r="E360" s="130" t="s">
        <v>138</v>
      </c>
      <c r="F360" s="130" t="s">
        <v>127</v>
      </c>
      <c r="G360" s="130" t="s">
        <v>128</v>
      </c>
      <c r="H360" s="132">
        <v>27900.0</v>
      </c>
      <c r="I360" s="130" t="s">
        <v>23</v>
      </c>
      <c r="J360" s="126"/>
      <c r="K360" s="126"/>
      <c r="L360" s="126"/>
      <c r="M360" s="126"/>
      <c r="N360" s="126"/>
      <c r="O360" s="126"/>
    </row>
    <row r="361" ht="15.75" customHeight="1">
      <c r="A361" s="130">
        <v>2023.0</v>
      </c>
      <c r="B361" s="130" t="s">
        <v>132</v>
      </c>
      <c r="C361" s="130" t="s">
        <v>73</v>
      </c>
      <c r="D361" s="130" t="s">
        <v>25</v>
      </c>
      <c r="E361" s="130" t="s">
        <v>138</v>
      </c>
      <c r="F361" s="130" t="s">
        <v>112</v>
      </c>
      <c r="G361" s="130" t="s">
        <v>128</v>
      </c>
      <c r="H361" s="132">
        <v>4929.0</v>
      </c>
      <c r="I361" s="130" t="s">
        <v>20</v>
      </c>
      <c r="J361" s="126"/>
      <c r="K361" s="126"/>
      <c r="L361" s="126"/>
      <c r="M361" s="126"/>
      <c r="N361" s="126"/>
      <c r="O361" s="126"/>
    </row>
    <row r="362" ht="15.75" customHeight="1">
      <c r="A362" s="130">
        <v>2023.0</v>
      </c>
      <c r="B362" s="130" t="s">
        <v>132</v>
      </c>
      <c r="C362" s="130" t="s">
        <v>73</v>
      </c>
      <c r="D362" s="130" t="s">
        <v>26</v>
      </c>
      <c r="E362" s="130" t="s">
        <v>126</v>
      </c>
      <c r="F362" s="130" t="s">
        <v>112</v>
      </c>
      <c r="G362" s="130" t="s">
        <v>128</v>
      </c>
      <c r="H362" s="132">
        <v>500.0</v>
      </c>
      <c r="I362" s="130" t="s">
        <v>20</v>
      </c>
      <c r="J362" s="126"/>
      <c r="K362" s="126"/>
      <c r="L362" s="126"/>
      <c r="M362" s="126"/>
      <c r="N362" s="126"/>
      <c r="O362" s="126"/>
    </row>
    <row r="363" ht="15.75" customHeight="1">
      <c r="A363" s="130">
        <v>2023.0</v>
      </c>
      <c r="B363" s="130" t="s">
        <v>132</v>
      </c>
      <c r="C363" s="130" t="s">
        <v>73</v>
      </c>
      <c r="D363" s="130" t="s">
        <v>27</v>
      </c>
      <c r="E363" s="130" t="s">
        <v>138</v>
      </c>
      <c r="F363" s="130" t="s">
        <v>112</v>
      </c>
      <c r="G363" s="130" t="s">
        <v>128</v>
      </c>
      <c r="H363" s="132">
        <v>7652.0</v>
      </c>
      <c r="I363" s="130" t="s">
        <v>20</v>
      </c>
      <c r="J363" s="126"/>
      <c r="K363" s="126"/>
      <c r="L363" s="126"/>
      <c r="M363" s="126"/>
      <c r="N363" s="126"/>
      <c r="O363" s="126"/>
    </row>
    <row r="364" ht="15.75" customHeight="1">
      <c r="A364" s="130">
        <v>2023.0</v>
      </c>
      <c r="B364" s="130" t="s">
        <v>132</v>
      </c>
      <c r="C364" s="130" t="s">
        <v>73</v>
      </c>
      <c r="D364" s="130" t="s">
        <v>25</v>
      </c>
      <c r="E364" s="130" t="s">
        <v>138</v>
      </c>
      <c r="F364" s="130" t="s">
        <v>135</v>
      </c>
      <c r="G364" s="130" t="s">
        <v>136</v>
      </c>
      <c r="H364" s="132">
        <v>42782.0</v>
      </c>
      <c r="I364" s="130" t="s">
        <v>21</v>
      </c>
      <c r="J364" s="126"/>
      <c r="K364" s="126"/>
      <c r="L364" s="126"/>
      <c r="M364" s="126"/>
      <c r="N364" s="126"/>
      <c r="O364" s="126"/>
    </row>
    <row r="365" ht="15.75" customHeight="1">
      <c r="A365" s="130">
        <v>2023.0</v>
      </c>
      <c r="B365" s="130" t="s">
        <v>132</v>
      </c>
      <c r="C365" s="130" t="s">
        <v>73</v>
      </c>
      <c r="D365" s="130" t="s">
        <v>26</v>
      </c>
      <c r="E365" s="130" t="s">
        <v>126</v>
      </c>
      <c r="F365" s="130" t="s">
        <v>135</v>
      </c>
      <c r="G365" s="130" t="s">
        <v>136</v>
      </c>
      <c r="H365" s="132">
        <v>471.0</v>
      </c>
      <c r="I365" s="130" t="s">
        <v>20</v>
      </c>
      <c r="J365" s="126"/>
      <c r="K365" s="126"/>
      <c r="L365" s="126"/>
      <c r="M365" s="126"/>
      <c r="N365" s="126"/>
      <c r="O365" s="126"/>
    </row>
    <row r="366" ht="15.75" customHeight="1">
      <c r="A366" s="130">
        <v>2023.0</v>
      </c>
      <c r="B366" s="130" t="s">
        <v>132</v>
      </c>
      <c r="C366" s="130" t="s">
        <v>73</v>
      </c>
      <c r="D366" s="130" t="s">
        <v>27</v>
      </c>
      <c r="E366" s="130" t="s">
        <v>138</v>
      </c>
      <c r="F366" s="130" t="s">
        <v>135</v>
      </c>
      <c r="G366" s="130" t="s">
        <v>136</v>
      </c>
      <c r="H366" s="132">
        <v>94647.0</v>
      </c>
      <c r="I366" s="130" t="s">
        <v>21</v>
      </c>
      <c r="J366" s="126"/>
      <c r="K366" s="126"/>
      <c r="L366" s="126"/>
      <c r="M366" s="126"/>
      <c r="N366" s="126"/>
      <c r="O366" s="126"/>
    </row>
    <row r="367" ht="15.75" customHeight="1">
      <c r="A367" s="130">
        <v>2023.0</v>
      </c>
      <c r="B367" s="130" t="s">
        <v>132</v>
      </c>
      <c r="C367" s="130" t="s">
        <v>73</v>
      </c>
      <c r="D367" s="130" t="s">
        <v>25</v>
      </c>
      <c r="E367" s="130" t="s">
        <v>138</v>
      </c>
      <c r="F367" s="130" t="s">
        <v>134</v>
      </c>
      <c r="G367" s="130" t="s">
        <v>134</v>
      </c>
      <c r="H367" s="132">
        <v>18777.0</v>
      </c>
      <c r="I367" s="130" t="s">
        <v>21</v>
      </c>
      <c r="J367" s="126"/>
      <c r="K367" s="126"/>
      <c r="L367" s="126"/>
      <c r="M367" s="126"/>
      <c r="N367" s="126"/>
      <c r="O367" s="126"/>
    </row>
    <row r="368" ht="15.75" customHeight="1">
      <c r="A368" s="130">
        <v>2023.0</v>
      </c>
      <c r="B368" s="130" t="s">
        <v>132</v>
      </c>
      <c r="C368" s="130" t="s">
        <v>73</v>
      </c>
      <c r="D368" s="130" t="s">
        <v>26</v>
      </c>
      <c r="E368" s="130" t="s">
        <v>126</v>
      </c>
      <c r="F368" s="130" t="s">
        <v>134</v>
      </c>
      <c r="G368" s="130" t="s">
        <v>134</v>
      </c>
      <c r="H368" s="132">
        <v>2083.0</v>
      </c>
      <c r="I368" s="130" t="s">
        <v>20</v>
      </c>
      <c r="J368" s="126"/>
      <c r="K368" s="126"/>
      <c r="L368" s="126"/>
      <c r="M368" s="126"/>
      <c r="N368" s="126"/>
      <c r="O368" s="126"/>
    </row>
    <row r="369" ht="15.75" customHeight="1">
      <c r="A369" s="130">
        <v>2023.0</v>
      </c>
      <c r="B369" s="130" t="s">
        <v>132</v>
      </c>
      <c r="C369" s="130" t="s">
        <v>73</v>
      </c>
      <c r="D369" s="130" t="s">
        <v>27</v>
      </c>
      <c r="E369" s="130" t="s">
        <v>138</v>
      </c>
      <c r="F369" s="130" t="s">
        <v>134</v>
      </c>
      <c r="G369" s="130" t="s">
        <v>134</v>
      </c>
      <c r="H369" s="132">
        <v>29500.0</v>
      </c>
      <c r="I369" s="130" t="s">
        <v>22</v>
      </c>
      <c r="J369" s="126"/>
      <c r="K369" s="126"/>
      <c r="L369" s="126"/>
      <c r="M369" s="126"/>
      <c r="N369" s="126"/>
      <c r="O369" s="126"/>
    </row>
    <row r="370" ht="15.75" customHeight="1">
      <c r="A370" s="130">
        <v>2023.0</v>
      </c>
      <c r="B370" s="130" t="s">
        <v>132</v>
      </c>
      <c r="C370" s="130" t="s">
        <v>73</v>
      </c>
      <c r="D370" s="130" t="s">
        <v>27</v>
      </c>
      <c r="E370" s="130" t="s">
        <v>138</v>
      </c>
      <c r="F370" s="130" t="s">
        <v>134</v>
      </c>
      <c r="G370" s="130" t="s">
        <v>134</v>
      </c>
      <c r="H370" s="132">
        <v>43882.0</v>
      </c>
      <c r="I370" s="130" t="s">
        <v>21</v>
      </c>
      <c r="J370" s="126"/>
      <c r="K370" s="126"/>
      <c r="L370" s="126"/>
      <c r="M370" s="126"/>
      <c r="N370" s="126"/>
      <c r="O370" s="126"/>
    </row>
    <row r="371" ht="15.75" customHeight="1">
      <c r="A371" s="130">
        <v>2023.0</v>
      </c>
      <c r="B371" s="130" t="s">
        <v>132</v>
      </c>
      <c r="C371" s="130" t="s">
        <v>73</v>
      </c>
      <c r="D371" s="130" t="s">
        <v>25</v>
      </c>
      <c r="E371" s="130" t="s">
        <v>138</v>
      </c>
      <c r="F371" s="130" t="s">
        <v>137</v>
      </c>
      <c r="G371" s="130" t="s">
        <v>136</v>
      </c>
      <c r="H371" s="132">
        <v>655.0</v>
      </c>
      <c r="I371" s="130" t="s">
        <v>20</v>
      </c>
      <c r="J371" s="126"/>
      <c r="K371" s="126"/>
      <c r="L371" s="126"/>
      <c r="M371" s="126"/>
      <c r="N371" s="126"/>
      <c r="O371" s="126"/>
    </row>
    <row r="372" ht="15.75" customHeight="1">
      <c r="A372" s="130">
        <v>2023.0</v>
      </c>
      <c r="B372" s="130" t="s">
        <v>132</v>
      </c>
      <c r="C372" s="130" t="s">
        <v>73</v>
      </c>
      <c r="D372" s="130" t="s">
        <v>25</v>
      </c>
      <c r="E372" s="130" t="s">
        <v>138</v>
      </c>
      <c r="F372" s="130" t="s">
        <v>137</v>
      </c>
      <c r="G372" s="130" t="s">
        <v>136</v>
      </c>
      <c r="H372" s="132">
        <v>10672.0</v>
      </c>
      <c r="I372" s="130" t="s">
        <v>21</v>
      </c>
      <c r="J372" s="126"/>
      <c r="K372" s="126"/>
      <c r="L372" s="126"/>
      <c r="M372" s="126"/>
      <c r="N372" s="126"/>
      <c r="O372" s="126"/>
    </row>
    <row r="373" ht="15.75" customHeight="1">
      <c r="A373" s="130">
        <v>2023.0</v>
      </c>
      <c r="B373" s="130" t="s">
        <v>132</v>
      </c>
      <c r="C373" s="130" t="s">
        <v>73</v>
      </c>
      <c r="D373" s="130" t="s">
        <v>26</v>
      </c>
      <c r="E373" s="130" t="s">
        <v>126</v>
      </c>
      <c r="F373" s="130" t="s">
        <v>137</v>
      </c>
      <c r="G373" s="130" t="s">
        <v>136</v>
      </c>
      <c r="H373" s="132">
        <v>130.0</v>
      </c>
      <c r="I373" s="130" t="s">
        <v>20</v>
      </c>
      <c r="J373" s="126"/>
      <c r="K373" s="126"/>
      <c r="L373" s="126"/>
      <c r="M373" s="126"/>
      <c r="N373" s="126"/>
      <c r="O373" s="126"/>
    </row>
    <row r="374" ht="15.75" customHeight="1">
      <c r="A374" s="130">
        <v>2023.0</v>
      </c>
      <c r="B374" s="130" t="s">
        <v>132</v>
      </c>
      <c r="C374" s="130" t="s">
        <v>73</v>
      </c>
      <c r="D374" s="130" t="s">
        <v>27</v>
      </c>
      <c r="E374" s="130" t="s">
        <v>138</v>
      </c>
      <c r="F374" s="130" t="s">
        <v>137</v>
      </c>
      <c r="G374" s="130" t="s">
        <v>136</v>
      </c>
      <c r="H374" s="132">
        <v>3521.0</v>
      </c>
      <c r="I374" s="130" t="s">
        <v>22</v>
      </c>
      <c r="J374" s="126"/>
      <c r="K374" s="126"/>
      <c r="L374" s="126"/>
      <c r="M374" s="126"/>
      <c r="N374" s="126"/>
      <c r="O374" s="126"/>
    </row>
    <row r="375" ht="15.75" customHeight="1">
      <c r="A375" s="130">
        <v>2023.0</v>
      </c>
      <c r="B375" s="130" t="s">
        <v>132</v>
      </c>
      <c r="C375" s="130" t="s">
        <v>73</v>
      </c>
      <c r="D375" s="130" t="s">
        <v>27</v>
      </c>
      <c r="E375" s="130" t="s">
        <v>138</v>
      </c>
      <c r="F375" s="130" t="s">
        <v>137</v>
      </c>
      <c r="G375" s="130" t="s">
        <v>136</v>
      </c>
      <c r="H375" s="132">
        <v>1044.0</v>
      </c>
      <c r="I375" s="130" t="s">
        <v>20</v>
      </c>
      <c r="J375" s="126"/>
      <c r="K375" s="126"/>
      <c r="L375" s="126"/>
      <c r="M375" s="126"/>
      <c r="N375" s="126"/>
      <c r="O375" s="126"/>
    </row>
    <row r="376" ht="15.75" customHeight="1">
      <c r="A376" s="130">
        <v>2023.0</v>
      </c>
      <c r="B376" s="130" t="s">
        <v>132</v>
      </c>
      <c r="C376" s="130" t="s">
        <v>73</v>
      </c>
      <c r="D376" s="130" t="s">
        <v>27</v>
      </c>
      <c r="E376" s="130" t="s">
        <v>138</v>
      </c>
      <c r="F376" s="130" t="s">
        <v>137</v>
      </c>
      <c r="G376" s="130" t="s">
        <v>136</v>
      </c>
      <c r="H376" s="132">
        <v>9891.0</v>
      </c>
      <c r="I376" s="130" t="s">
        <v>21</v>
      </c>
      <c r="J376" s="126"/>
      <c r="K376" s="126"/>
      <c r="L376" s="126"/>
      <c r="M376" s="126"/>
      <c r="N376" s="126"/>
      <c r="O376" s="126"/>
    </row>
    <row r="377" ht="15.75" customHeight="1">
      <c r="A377" s="130">
        <v>2023.0</v>
      </c>
      <c r="B377" s="130" t="s">
        <v>132</v>
      </c>
      <c r="C377" s="130" t="s">
        <v>73</v>
      </c>
      <c r="D377" s="130" t="s">
        <v>25</v>
      </c>
      <c r="E377" s="130" t="s">
        <v>138</v>
      </c>
      <c r="F377" s="130" t="s">
        <v>127</v>
      </c>
      <c r="G377" s="130" t="s">
        <v>128</v>
      </c>
      <c r="H377" s="132">
        <v>56000.0</v>
      </c>
      <c r="I377" s="130" t="s">
        <v>20</v>
      </c>
      <c r="J377" s="126"/>
      <c r="K377" s="126"/>
      <c r="L377" s="126"/>
      <c r="M377" s="126"/>
      <c r="N377" s="126"/>
      <c r="O377" s="126"/>
    </row>
    <row r="378" ht="15.75" customHeight="1">
      <c r="A378" s="130">
        <v>2023.0</v>
      </c>
      <c r="B378" s="130" t="s">
        <v>132</v>
      </c>
      <c r="C378" s="130" t="s">
        <v>73</v>
      </c>
      <c r="D378" s="130" t="s">
        <v>26</v>
      </c>
      <c r="E378" s="130" t="s">
        <v>126</v>
      </c>
      <c r="F378" s="130" t="s">
        <v>127</v>
      </c>
      <c r="G378" s="130" t="s">
        <v>128</v>
      </c>
      <c r="H378" s="132">
        <v>7511.0</v>
      </c>
      <c r="I378" s="130" t="s">
        <v>20</v>
      </c>
      <c r="J378" s="126"/>
      <c r="K378" s="126"/>
      <c r="L378" s="126"/>
      <c r="M378" s="126"/>
      <c r="N378" s="126"/>
      <c r="O378" s="126"/>
    </row>
    <row r="379" ht="15.75" customHeight="1">
      <c r="A379" s="130">
        <v>2023.0</v>
      </c>
      <c r="B379" s="130" t="s">
        <v>132</v>
      </c>
      <c r="C379" s="130" t="s">
        <v>73</v>
      </c>
      <c r="D379" s="130" t="s">
        <v>27</v>
      </c>
      <c r="E379" s="130" t="s">
        <v>138</v>
      </c>
      <c r="F379" s="130" t="s">
        <v>127</v>
      </c>
      <c r="G379" s="130" t="s">
        <v>128</v>
      </c>
      <c r="H379" s="132">
        <v>51228.0</v>
      </c>
      <c r="I379" s="130" t="s">
        <v>20</v>
      </c>
      <c r="J379" s="126"/>
      <c r="K379" s="126"/>
      <c r="L379" s="126"/>
      <c r="M379" s="126"/>
      <c r="N379" s="126"/>
      <c r="O379" s="126"/>
    </row>
    <row r="380" ht="15.75" customHeight="1">
      <c r="A380" s="130">
        <v>2023.0</v>
      </c>
      <c r="B380" s="130" t="s">
        <v>132</v>
      </c>
      <c r="C380" s="130" t="s">
        <v>73</v>
      </c>
      <c r="D380" s="130" t="s">
        <v>27</v>
      </c>
      <c r="E380" s="130" t="s">
        <v>138</v>
      </c>
      <c r="F380" s="130" t="s">
        <v>127</v>
      </c>
      <c r="G380" s="130" t="s">
        <v>128</v>
      </c>
      <c r="H380" s="132">
        <v>37000.0</v>
      </c>
      <c r="I380" s="130" t="s">
        <v>23</v>
      </c>
      <c r="J380" s="126"/>
      <c r="K380" s="126"/>
      <c r="L380" s="126"/>
      <c r="M380" s="126"/>
      <c r="N380" s="126"/>
      <c r="O380" s="126"/>
    </row>
    <row r="381" ht="15.75" customHeight="1">
      <c r="A381" s="130">
        <v>2023.0</v>
      </c>
      <c r="B381" s="130" t="s">
        <v>133</v>
      </c>
      <c r="C381" s="130" t="s">
        <v>74</v>
      </c>
      <c r="D381" s="130" t="s">
        <v>25</v>
      </c>
      <c r="E381" s="130" t="s">
        <v>138</v>
      </c>
      <c r="F381" s="130" t="s">
        <v>112</v>
      </c>
      <c r="G381" s="130" t="s">
        <v>128</v>
      </c>
      <c r="H381" s="132">
        <v>300.0</v>
      </c>
      <c r="I381" s="130" t="s">
        <v>20</v>
      </c>
      <c r="J381" s="126"/>
      <c r="K381" s="126"/>
      <c r="L381" s="126"/>
      <c r="M381" s="126"/>
      <c r="N381" s="126"/>
      <c r="O381" s="126"/>
    </row>
    <row r="382" ht="15.75" customHeight="1">
      <c r="A382" s="130">
        <v>2023.0</v>
      </c>
      <c r="B382" s="130" t="s">
        <v>133</v>
      </c>
      <c r="C382" s="130" t="s">
        <v>74</v>
      </c>
      <c r="D382" s="130" t="s">
        <v>25</v>
      </c>
      <c r="E382" s="130" t="s">
        <v>138</v>
      </c>
      <c r="F382" s="130" t="s">
        <v>112</v>
      </c>
      <c r="G382" s="130" t="s">
        <v>128</v>
      </c>
      <c r="H382" s="132">
        <v>4313.0</v>
      </c>
      <c r="I382" s="130" t="s">
        <v>21</v>
      </c>
      <c r="J382" s="126"/>
      <c r="K382" s="126"/>
      <c r="L382" s="126"/>
      <c r="M382" s="126"/>
      <c r="N382" s="126"/>
      <c r="O382" s="126"/>
    </row>
    <row r="383" ht="15.75" customHeight="1">
      <c r="A383" s="130">
        <v>2023.0</v>
      </c>
      <c r="B383" s="130" t="s">
        <v>133</v>
      </c>
      <c r="C383" s="130" t="s">
        <v>74</v>
      </c>
      <c r="D383" s="130" t="s">
        <v>26</v>
      </c>
      <c r="E383" s="130" t="s">
        <v>126</v>
      </c>
      <c r="F383" s="130" t="s">
        <v>112</v>
      </c>
      <c r="G383" s="130" t="s">
        <v>128</v>
      </c>
      <c r="H383" s="132">
        <v>700.0</v>
      </c>
      <c r="I383" s="130" t="s">
        <v>20</v>
      </c>
      <c r="J383" s="126"/>
      <c r="K383" s="126"/>
      <c r="L383" s="126"/>
      <c r="M383" s="126"/>
      <c r="N383" s="126"/>
      <c r="O383" s="126"/>
    </row>
    <row r="384" ht="15.75" customHeight="1">
      <c r="A384" s="130">
        <v>2023.0</v>
      </c>
      <c r="B384" s="130" t="s">
        <v>133</v>
      </c>
      <c r="C384" s="130" t="s">
        <v>74</v>
      </c>
      <c r="D384" s="130" t="s">
        <v>27</v>
      </c>
      <c r="E384" s="130" t="s">
        <v>138</v>
      </c>
      <c r="F384" s="130" t="s">
        <v>112</v>
      </c>
      <c r="G384" s="130" t="s">
        <v>128</v>
      </c>
      <c r="H384" s="132">
        <v>0.0</v>
      </c>
      <c r="I384" s="130" t="s">
        <v>20</v>
      </c>
      <c r="J384" s="126"/>
      <c r="K384" s="126"/>
      <c r="L384" s="126"/>
      <c r="M384" s="126"/>
      <c r="N384" s="126"/>
      <c r="O384" s="126"/>
    </row>
    <row r="385" ht="15.75" customHeight="1">
      <c r="A385" s="130">
        <v>2023.0</v>
      </c>
      <c r="B385" s="130" t="s">
        <v>133</v>
      </c>
      <c r="C385" s="130" t="s">
        <v>74</v>
      </c>
      <c r="D385" s="130" t="s">
        <v>27</v>
      </c>
      <c r="E385" s="130" t="s">
        <v>138</v>
      </c>
      <c r="F385" s="130" t="s">
        <v>112</v>
      </c>
      <c r="G385" s="130" t="s">
        <v>128</v>
      </c>
      <c r="H385" s="132">
        <v>6915.0</v>
      </c>
      <c r="I385" s="130" t="s">
        <v>21</v>
      </c>
      <c r="J385" s="126"/>
      <c r="K385" s="126"/>
      <c r="L385" s="126"/>
      <c r="M385" s="126"/>
      <c r="N385" s="126"/>
      <c r="O385" s="126"/>
    </row>
    <row r="386" ht="15.75" customHeight="1">
      <c r="A386" s="130">
        <v>2023.0</v>
      </c>
      <c r="B386" s="130" t="s">
        <v>133</v>
      </c>
      <c r="C386" s="130" t="s">
        <v>74</v>
      </c>
      <c r="D386" s="130" t="s">
        <v>25</v>
      </c>
      <c r="E386" s="130" t="s">
        <v>138</v>
      </c>
      <c r="F386" s="130" t="s">
        <v>135</v>
      </c>
      <c r="G386" s="130" t="s">
        <v>136</v>
      </c>
      <c r="H386" s="132">
        <v>47391.0</v>
      </c>
      <c r="I386" s="130" t="s">
        <v>21</v>
      </c>
      <c r="J386" s="126"/>
      <c r="K386" s="126"/>
      <c r="L386" s="126"/>
      <c r="M386" s="126"/>
      <c r="N386" s="126"/>
      <c r="O386" s="126"/>
    </row>
    <row r="387" ht="15.75" customHeight="1">
      <c r="A387" s="130">
        <v>2023.0</v>
      </c>
      <c r="B387" s="130" t="s">
        <v>133</v>
      </c>
      <c r="C387" s="130" t="s">
        <v>74</v>
      </c>
      <c r="D387" s="130" t="s">
        <v>26</v>
      </c>
      <c r="E387" s="130" t="s">
        <v>126</v>
      </c>
      <c r="F387" s="130" t="s">
        <v>135</v>
      </c>
      <c r="G387" s="130" t="s">
        <v>136</v>
      </c>
      <c r="H387" s="132">
        <v>2804.0</v>
      </c>
      <c r="I387" s="130" t="s">
        <v>20</v>
      </c>
      <c r="J387" s="126"/>
      <c r="K387" s="126"/>
      <c r="L387" s="126"/>
      <c r="M387" s="126"/>
      <c r="N387" s="126"/>
      <c r="O387" s="126"/>
    </row>
    <row r="388" ht="15.75" customHeight="1">
      <c r="A388" s="130">
        <v>2023.0</v>
      </c>
      <c r="B388" s="130" t="s">
        <v>133</v>
      </c>
      <c r="C388" s="130" t="s">
        <v>74</v>
      </c>
      <c r="D388" s="130" t="s">
        <v>27</v>
      </c>
      <c r="E388" s="130" t="s">
        <v>138</v>
      </c>
      <c r="F388" s="130" t="s">
        <v>135</v>
      </c>
      <c r="G388" s="130" t="s">
        <v>136</v>
      </c>
      <c r="H388" s="132">
        <v>109285.0</v>
      </c>
      <c r="I388" s="130" t="s">
        <v>21</v>
      </c>
      <c r="J388" s="126"/>
      <c r="K388" s="126"/>
      <c r="L388" s="126"/>
      <c r="M388" s="126"/>
      <c r="N388" s="126"/>
      <c r="O388" s="126"/>
    </row>
    <row r="389" ht="15.75" customHeight="1">
      <c r="A389" s="130">
        <v>2023.0</v>
      </c>
      <c r="B389" s="130" t="s">
        <v>133</v>
      </c>
      <c r="C389" s="130" t="s">
        <v>74</v>
      </c>
      <c r="D389" s="130" t="s">
        <v>25</v>
      </c>
      <c r="E389" s="130" t="s">
        <v>138</v>
      </c>
      <c r="F389" s="130" t="s">
        <v>134</v>
      </c>
      <c r="G389" s="130" t="s">
        <v>134</v>
      </c>
      <c r="H389" s="132">
        <v>23182.0</v>
      </c>
      <c r="I389" s="130" t="s">
        <v>21</v>
      </c>
      <c r="J389" s="126"/>
      <c r="K389" s="126"/>
      <c r="L389" s="126"/>
      <c r="M389" s="126"/>
      <c r="N389" s="126"/>
      <c r="O389" s="126"/>
    </row>
    <row r="390" ht="15.75" customHeight="1">
      <c r="A390" s="130">
        <v>2023.0</v>
      </c>
      <c r="B390" s="130" t="s">
        <v>133</v>
      </c>
      <c r="C390" s="130" t="s">
        <v>74</v>
      </c>
      <c r="D390" s="130" t="s">
        <v>26</v>
      </c>
      <c r="E390" s="130" t="s">
        <v>126</v>
      </c>
      <c r="F390" s="130" t="s">
        <v>134</v>
      </c>
      <c r="G390" s="130" t="s">
        <v>134</v>
      </c>
      <c r="H390" s="132">
        <v>3502.0</v>
      </c>
      <c r="I390" s="130" t="s">
        <v>20</v>
      </c>
      <c r="J390" s="126"/>
      <c r="K390" s="126"/>
      <c r="L390" s="126"/>
      <c r="M390" s="126"/>
      <c r="N390" s="126"/>
      <c r="O390" s="126"/>
    </row>
    <row r="391" ht="15.75" customHeight="1">
      <c r="A391" s="130">
        <v>2023.0</v>
      </c>
      <c r="B391" s="130" t="s">
        <v>133</v>
      </c>
      <c r="C391" s="130" t="s">
        <v>74</v>
      </c>
      <c r="D391" s="130" t="s">
        <v>27</v>
      </c>
      <c r="E391" s="130" t="s">
        <v>138</v>
      </c>
      <c r="F391" s="130" t="s">
        <v>134</v>
      </c>
      <c r="G391" s="130" t="s">
        <v>134</v>
      </c>
      <c r="H391" s="132">
        <v>38800.0</v>
      </c>
      <c r="I391" s="130" t="s">
        <v>22</v>
      </c>
      <c r="J391" s="126"/>
      <c r="K391" s="126"/>
      <c r="L391" s="126"/>
      <c r="M391" s="126"/>
      <c r="N391" s="126"/>
      <c r="O391" s="126"/>
    </row>
    <row r="392" ht="15.75" customHeight="1">
      <c r="A392" s="130">
        <v>2023.0</v>
      </c>
      <c r="B392" s="130" t="s">
        <v>133</v>
      </c>
      <c r="C392" s="130" t="s">
        <v>74</v>
      </c>
      <c r="D392" s="130" t="s">
        <v>27</v>
      </c>
      <c r="E392" s="130" t="s">
        <v>138</v>
      </c>
      <c r="F392" s="130" t="s">
        <v>134</v>
      </c>
      <c r="G392" s="130" t="s">
        <v>134</v>
      </c>
      <c r="H392" s="132">
        <v>26712.0</v>
      </c>
      <c r="I392" s="130" t="s">
        <v>21</v>
      </c>
      <c r="J392" s="126"/>
      <c r="K392" s="126"/>
      <c r="L392" s="126"/>
      <c r="M392" s="126"/>
      <c r="N392" s="126"/>
      <c r="O392" s="126"/>
    </row>
    <row r="393" ht="15.75" customHeight="1">
      <c r="A393" s="130">
        <v>2023.0</v>
      </c>
      <c r="B393" s="130" t="s">
        <v>133</v>
      </c>
      <c r="C393" s="130" t="s">
        <v>74</v>
      </c>
      <c r="D393" s="130" t="s">
        <v>25</v>
      </c>
      <c r="E393" s="130" t="s">
        <v>138</v>
      </c>
      <c r="F393" s="130" t="s">
        <v>137</v>
      </c>
      <c r="G393" s="130" t="s">
        <v>136</v>
      </c>
      <c r="H393" s="132">
        <v>392.0</v>
      </c>
      <c r="I393" s="130" t="s">
        <v>20</v>
      </c>
      <c r="J393" s="126"/>
      <c r="K393" s="126"/>
      <c r="L393" s="126"/>
      <c r="M393" s="126"/>
      <c r="N393" s="126"/>
      <c r="O393" s="126"/>
    </row>
    <row r="394" ht="15.75" customHeight="1">
      <c r="A394" s="130">
        <v>2023.0</v>
      </c>
      <c r="B394" s="130" t="s">
        <v>133</v>
      </c>
      <c r="C394" s="130" t="s">
        <v>74</v>
      </c>
      <c r="D394" s="130" t="s">
        <v>25</v>
      </c>
      <c r="E394" s="130" t="s">
        <v>138</v>
      </c>
      <c r="F394" s="130" t="s">
        <v>137</v>
      </c>
      <c r="G394" s="130" t="s">
        <v>136</v>
      </c>
      <c r="H394" s="132">
        <v>8125.0</v>
      </c>
      <c r="I394" s="130" t="s">
        <v>21</v>
      </c>
      <c r="J394" s="126"/>
      <c r="K394" s="126"/>
      <c r="L394" s="126"/>
      <c r="M394" s="126"/>
      <c r="N394" s="126"/>
      <c r="O394" s="126"/>
    </row>
    <row r="395" ht="15.75" customHeight="1">
      <c r="A395" s="130">
        <v>2023.0</v>
      </c>
      <c r="B395" s="130" t="s">
        <v>133</v>
      </c>
      <c r="C395" s="130" t="s">
        <v>74</v>
      </c>
      <c r="D395" s="130" t="s">
        <v>26</v>
      </c>
      <c r="E395" s="130" t="s">
        <v>126</v>
      </c>
      <c r="F395" s="130" t="s">
        <v>137</v>
      </c>
      <c r="G395" s="130" t="s">
        <v>136</v>
      </c>
      <c r="H395" s="132">
        <v>2319.0</v>
      </c>
      <c r="I395" s="130" t="s">
        <v>20</v>
      </c>
      <c r="J395" s="126"/>
      <c r="K395" s="126"/>
      <c r="L395" s="126"/>
      <c r="M395" s="126"/>
      <c r="N395" s="126"/>
      <c r="O395" s="126"/>
    </row>
    <row r="396" ht="15.75" customHeight="1">
      <c r="A396" s="130">
        <v>2023.0</v>
      </c>
      <c r="B396" s="130" t="s">
        <v>133</v>
      </c>
      <c r="C396" s="130" t="s">
        <v>74</v>
      </c>
      <c r="D396" s="130" t="s">
        <v>27</v>
      </c>
      <c r="E396" s="130" t="s">
        <v>138</v>
      </c>
      <c r="F396" s="130" t="s">
        <v>137</v>
      </c>
      <c r="G396" s="130" t="s">
        <v>136</v>
      </c>
      <c r="H396" s="132">
        <v>5030.0</v>
      </c>
      <c r="I396" s="130" t="s">
        <v>22</v>
      </c>
      <c r="J396" s="126"/>
      <c r="K396" s="126"/>
      <c r="L396" s="126"/>
      <c r="M396" s="126"/>
      <c r="N396" s="126"/>
      <c r="O396" s="126"/>
    </row>
    <row r="397" ht="15.75" customHeight="1">
      <c r="A397" s="130">
        <v>2023.0</v>
      </c>
      <c r="B397" s="130" t="s">
        <v>133</v>
      </c>
      <c r="C397" s="130" t="s">
        <v>74</v>
      </c>
      <c r="D397" s="130" t="s">
        <v>27</v>
      </c>
      <c r="E397" s="130" t="s">
        <v>138</v>
      </c>
      <c r="F397" s="130" t="s">
        <v>137</v>
      </c>
      <c r="G397" s="130" t="s">
        <v>136</v>
      </c>
      <c r="H397" s="132">
        <v>983.0</v>
      </c>
      <c r="I397" s="130" t="s">
        <v>20</v>
      </c>
      <c r="J397" s="126"/>
      <c r="K397" s="126"/>
      <c r="L397" s="126"/>
      <c r="M397" s="126"/>
      <c r="N397" s="126"/>
      <c r="O397" s="126"/>
    </row>
    <row r="398" ht="15.75" customHeight="1">
      <c r="A398" s="130">
        <v>2023.0</v>
      </c>
      <c r="B398" s="130" t="s">
        <v>133</v>
      </c>
      <c r="C398" s="130" t="s">
        <v>74</v>
      </c>
      <c r="D398" s="130" t="s">
        <v>27</v>
      </c>
      <c r="E398" s="130" t="s">
        <v>138</v>
      </c>
      <c r="F398" s="130" t="s">
        <v>137</v>
      </c>
      <c r="G398" s="130" t="s">
        <v>136</v>
      </c>
      <c r="H398" s="132">
        <v>17347.0</v>
      </c>
      <c r="I398" s="130" t="s">
        <v>21</v>
      </c>
      <c r="J398" s="126"/>
      <c r="K398" s="126"/>
      <c r="L398" s="126"/>
      <c r="M398" s="126"/>
      <c r="N398" s="126"/>
      <c r="O398" s="126"/>
    </row>
    <row r="399" ht="15.75" customHeight="1">
      <c r="A399" s="130">
        <v>2023.0</v>
      </c>
      <c r="B399" s="130" t="s">
        <v>133</v>
      </c>
      <c r="C399" s="130" t="s">
        <v>74</v>
      </c>
      <c r="D399" s="130" t="s">
        <v>25</v>
      </c>
      <c r="E399" s="130" t="s">
        <v>138</v>
      </c>
      <c r="F399" s="130" t="s">
        <v>127</v>
      </c>
      <c r="G399" s="130" t="s">
        <v>128</v>
      </c>
      <c r="H399" s="132">
        <v>59000.0</v>
      </c>
      <c r="I399" s="130" t="s">
        <v>20</v>
      </c>
      <c r="J399" s="126"/>
      <c r="K399" s="126"/>
      <c r="L399" s="126"/>
      <c r="M399" s="126"/>
      <c r="N399" s="126"/>
      <c r="O399" s="126"/>
    </row>
    <row r="400" ht="15.75" customHeight="1">
      <c r="A400" s="130">
        <v>2023.0</v>
      </c>
      <c r="B400" s="130" t="s">
        <v>133</v>
      </c>
      <c r="C400" s="130" t="s">
        <v>74</v>
      </c>
      <c r="D400" s="130" t="s">
        <v>26</v>
      </c>
      <c r="E400" s="130" t="s">
        <v>126</v>
      </c>
      <c r="F400" s="130" t="s">
        <v>127</v>
      </c>
      <c r="G400" s="130" t="s">
        <v>128</v>
      </c>
      <c r="H400" s="132">
        <v>9900.0</v>
      </c>
      <c r="I400" s="130" t="s">
        <v>20</v>
      </c>
      <c r="J400" s="126"/>
      <c r="K400" s="126"/>
      <c r="L400" s="126"/>
      <c r="M400" s="126"/>
      <c r="N400" s="126"/>
      <c r="O400" s="126"/>
    </row>
    <row r="401" ht="15.75" customHeight="1">
      <c r="A401" s="130">
        <v>2023.0</v>
      </c>
      <c r="B401" s="130" t="s">
        <v>133</v>
      </c>
      <c r="C401" s="130" t="s">
        <v>74</v>
      </c>
      <c r="D401" s="130" t="s">
        <v>27</v>
      </c>
      <c r="E401" s="130" t="s">
        <v>138</v>
      </c>
      <c r="F401" s="130" t="s">
        <v>127</v>
      </c>
      <c r="G401" s="130" t="s">
        <v>128</v>
      </c>
      <c r="H401" s="132">
        <v>57640.0</v>
      </c>
      <c r="I401" s="130" t="s">
        <v>20</v>
      </c>
      <c r="J401" s="126"/>
      <c r="K401" s="126"/>
      <c r="L401" s="126"/>
      <c r="M401" s="126"/>
      <c r="N401" s="126"/>
      <c r="O401" s="126"/>
    </row>
    <row r="402" ht="15.75" customHeight="1">
      <c r="A402" s="130">
        <v>2023.0</v>
      </c>
      <c r="B402" s="130" t="s">
        <v>133</v>
      </c>
      <c r="C402" s="130" t="s">
        <v>74</v>
      </c>
      <c r="D402" s="130" t="s">
        <v>27</v>
      </c>
      <c r="E402" s="130" t="s">
        <v>138</v>
      </c>
      <c r="F402" s="130" t="s">
        <v>127</v>
      </c>
      <c r="G402" s="130" t="s">
        <v>128</v>
      </c>
      <c r="H402" s="132">
        <v>41500.0</v>
      </c>
      <c r="I402" s="130" t="s">
        <v>23</v>
      </c>
      <c r="J402" s="126"/>
      <c r="K402" s="126"/>
      <c r="L402" s="126"/>
      <c r="M402" s="126"/>
      <c r="N402" s="126"/>
      <c r="O402" s="126"/>
    </row>
    <row r="403" ht="15.75" customHeight="1">
      <c r="A403" s="130">
        <v>2023.0</v>
      </c>
      <c r="B403" s="130" t="s">
        <v>125</v>
      </c>
      <c r="C403" s="130" t="s">
        <v>75</v>
      </c>
      <c r="D403" s="130" t="s">
        <v>25</v>
      </c>
      <c r="E403" s="130" t="s">
        <v>138</v>
      </c>
      <c r="F403" s="130" t="s">
        <v>112</v>
      </c>
      <c r="G403" s="130" t="s">
        <v>128</v>
      </c>
      <c r="H403" s="132">
        <v>0.0</v>
      </c>
      <c r="I403" s="130" t="s">
        <v>20</v>
      </c>
      <c r="J403" s="126"/>
      <c r="K403" s="126"/>
      <c r="L403" s="126"/>
      <c r="M403" s="126"/>
      <c r="N403" s="126"/>
      <c r="O403" s="126"/>
    </row>
    <row r="404" ht="15.75" customHeight="1">
      <c r="A404" s="130">
        <v>2023.0</v>
      </c>
      <c r="B404" s="130" t="s">
        <v>125</v>
      </c>
      <c r="C404" s="130" t="s">
        <v>75</v>
      </c>
      <c r="D404" s="130" t="s">
        <v>25</v>
      </c>
      <c r="E404" s="130" t="s">
        <v>138</v>
      </c>
      <c r="F404" s="130" t="s">
        <v>112</v>
      </c>
      <c r="G404" s="130" t="s">
        <v>128</v>
      </c>
      <c r="H404" s="132">
        <v>5203.0</v>
      </c>
      <c r="I404" s="130" t="s">
        <v>21</v>
      </c>
      <c r="J404" s="126"/>
      <c r="K404" s="126"/>
      <c r="L404" s="126"/>
      <c r="M404" s="126"/>
      <c r="N404" s="126"/>
      <c r="O404" s="126"/>
    </row>
    <row r="405" ht="15.75" customHeight="1">
      <c r="A405" s="130">
        <v>2023.0</v>
      </c>
      <c r="B405" s="130" t="s">
        <v>125</v>
      </c>
      <c r="C405" s="130" t="s">
        <v>75</v>
      </c>
      <c r="D405" s="130" t="s">
        <v>26</v>
      </c>
      <c r="E405" s="130" t="s">
        <v>126</v>
      </c>
      <c r="F405" s="130" t="s">
        <v>112</v>
      </c>
      <c r="G405" s="130" t="s">
        <v>128</v>
      </c>
      <c r="H405" s="132">
        <v>775.0</v>
      </c>
      <c r="I405" s="130" t="s">
        <v>20</v>
      </c>
      <c r="J405" s="126"/>
      <c r="K405" s="126"/>
      <c r="L405" s="126"/>
      <c r="M405" s="126"/>
      <c r="N405" s="126"/>
      <c r="O405" s="126"/>
    </row>
    <row r="406" ht="15.75" customHeight="1">
      <c r="A406" s="130">
        <v>2023.0</v>
      </c>
      <c r="B406" s="130" t="s">
        <v>125</v>
      </c>
      <c r="C406" s="130" t="s">
        <v>75</v>
      </c>
      <c r="D406" s="130" t="s">
        <v>27</v>
      </c>
      <c r="E406" s="130" t="s">
        <v>138</v>
      </c>
      <c r="F406" s="130" t="s">
        <v>112</v>
      </c>
      <c r="G406" s="130" t="s">
        <v>128</v>
      </c>
      <c r="H406" s="132">
        <v>0.0</v>
      </c>
      <c r="I406" s="130" t="s">
        <v>20</v>
      </c>
      <c r="J406" s="126"/>
      <c r="K406" s="126"/>
      <c r="L406" s="126"/>
      <c r="M406" s="126"/>
      <c r="N406" s="126"/>
      <c r="O406" s="126"/>
    </row>
    <row r="407" ht="15.75" customHeight="1">
      <c r="A407" s="130">
        <v>2023.0</v>
      </c>
      <c r="B407" s="130" t="s">
        <v>125</v>
      </c>
      <c r="C407" s="130" t="s">
        <v>75</v>
      </c>
      <c r="D407" s="130" t="s">
        <v>27</v>
      </c>
      <c r="E407" s="130" t="s">
        <v>138</v>
      </c>
      <c r="F407" s="130" t="s">
        <v>112</v>
      </c>
      <c r="G407" s="130" t="s">
        <v>128</v>
      </c>
      <c r="H407" s="132">
        <v>8012.0</v>
      </c>
      <c r="I407" s="130" t="s">
        <v>21</v>
      </c>
      <c r="J407" s="126"/>
      <c r="K407" s="126"/>
      <c r="L407" s="126"/>
      <c r="M407" s="126"/>
      <c r="N407" s="126"/>
      <c r="O407" s="126"/>
    </row>
    <row r="408" ht="15.75" customHeight="1">
      <c r="A408" s="130">
        <v>2023.0</v>
      </c>
      <c r="B408" s="130" t="s">
        <v>125</v>
      </c>
      <c r="C408" s="130" t="s">
        <v>75</v>
      </c>
      <c r="D408" s="130" t="s">
        <v>25</v>
      </c>
      <c r="E408" s="130" t="s">
        <v>138</v>
      </c>
      <c r="F408" s="130" t="s">
        <v>135</v>
      </c>
      <c r="G408" s="130" t="s">
        <v>136</v>
      </c>
      <c r="H408" s="132">
        <v>23447.0</v>
      </c>
      <c r="I408" s="130" t="s">
        <v>21</v>
      </c>
      <c r="J408" s="126"/>
      <c r="K408" s="126"/>
      <c r="L408" s="126"/>
      <c r="M408" s="126"/>
      <c r="N408" s="126"/>
      <c r="O408" s="126"/>
    </row>
    <row r="409" ht="15.75" customHeight="1">
      <c r="A409" s="130">
        <v>2023.0</v>
      </c>
      <c r="B409" s="130" t="s">
        <v>125</v>
      </c>
      <c r="C409" s="130" t="s">
        <v>75</v>
      </c>
      <c r="D409" s="130" t="s">
        <v>26</v>
      </c>
      <c r="E409" s="130" t="s">
        <v>126</v>
      </c>
      <c r="F409" s="130" t="s">
        <v>135</v>
      </c>
      <c r="G409" s="130" t="s">
        <v>136</v>
      </c>
      <c r="H409" s="132">
        <v>1592.0</v>
      </c>
      <c r="I409" s="130" t="s">
        <v>20</v>
      </c>
      <c r="J409" s="126"/>
      <c r="K409" s="126"/>
      <c r="L409" s="126"/>
      <c r="M409" s="126"/>
      <c r="N409" s="126"/>
      <c r="O409" s="126"/>
    </row>
    <row r="410" ht="15.75" customHeight="1">
      <c r="A410" s="130">
        <v>2023.0</v>
      </c>
      <c r="B410" s="130" t="s">
        <v>125</v>
      </c>
      <c r="C410" s="130" t="s">
        <v>75</v>
      </c>
      <c r="D410" s="130" t="s">
        <v>27</v>
      </c>
      <c r="E410" s="130" t="s">
        <v>138</v>
      </c>
      <c r="F410" s="130" t="s">
        <v>135</v>
      </c>
      <c r="G410" s="130" t="s">
        <v>136</v>
      </c>
      <c r="H410" s="132">
        <v>116177.0</v>
      </c>
      <c r="I410" s="130" t="s">
        <v>21</v>
      </c>
      <c r="J410" s="126"/>
      <c r="K410" s="126"/>
      <c r="L410" s="126"/>
      <c r="M410" s="126"/>
      <c r="N410" s="126"/>
      <c r="O410" s="126"/>
    </row>
    <row r="411" ht="15.75" customHeight="1">
      <c r="A411" s="130">
        <v>2023.0</v>
      </c>
      <c r="B411" s="130" t="s">
        <v>125</v>
      </c>
      <c r="C411" s="130" t="s">
        <v>75</v>
      </c>
      <c r="D411" s="130" t="s">
        <v>25</v>
      </c>
      <c r="E411" s="130" t="s">
        <v>138</v>
      </c>
      <c r="F411" s="130" t="s">
        <v>134</v>
      </c>
      <c r="G411" s="130" t="s">
        <v>134</v>
      </c>
      <c r="H411" s="132">
        <v>21628.0</v>
      </c>
      <c r="I411" s="130" t="s">
        <v>21</v>
      </c>
      <c r="J411" s="126"/>
      <c r="K411" s="126"/>
      <c r="L411" s="126"/>
      <c r="M411" s="126"/>
      <c r="N411" s="126"/>
      <c r="O411" s="126"/>
    </row>
    <row r="412" ht="15.75" customHeight="1">
      <c r="A412" s="130">
        <v>2023.0</v>
      </c>
      <c r="B412" s="130" t="s">
        <v>125</v>
      </c>
      <c r="C412" s="130" t="s">
        <v>75</v>
      </c>
      <c r="D412" s="130" t="s">
        <v>26</v>
      </c>
      <c r="E412" s="130" t="s">
        <v>126</v>
      </c>
      <c r="F412" s="130" t="s">
        <v>134</v>
      </c>
      <c r="G412" s="130" t="s">
        <v>134</v>
      </c>
      <c r="H412" s="132">
        <v>1554.0</v>
      </c>
      <c r="I412" s="130" t="s">
        <v>20</v>
      </c>
      <c r="J412" s="126"/>
      <c r="K412" s="126"/>
      <c r="L412" s="126"/>
      <c r="M412" s="126"/>
      <c r="N412" s="126"/>
      <c r="O412" s="126"/>
    </row>
    <row r="413" ht="15.75" customHeight="1">
      <c r="A413" s="130">
        <v>2023.0</v>
      </c>
      <c r="B413" s="130" t="s">
        <v>125</v>
      </c>
      <c r="C413" s="130" t="s">
        <v>75</v>
      </c>
      <c r="D413" s="130" t="s">
        <v>27</v>
      </c>
      <c r="E413" s="130" t="s">
        <v>138</v>
      </c>
      <c r="F413" s="130" t="s">
        <v>134</v>
      </c>
      <c r="G413" s="130" t="s">
        <v>134</v>
      </c>
      <c r="H413" s="132">
        <v>47700.0</v>
      </c>
      <c r="I413" s="130" t="s">
        <v>22</v>
      </c>
      <c r="J413" s="126"/>
      <c r="K413" s="126"/>
      <c r="L413" s="126"/>
      <c r="M413" s="126"/>
      <c r="N413" s="126"/>
      <c r="O413" s="126"/>
    </row>
    <row r="414" ht="15.75" customHeight="1">
      <c r="A414" s="130">
        <v>2023.0</v>
      </c>
      <c r="B414" s="130" t="s">
        <v>125</v>
      </c>
      <c r="C414" s="130" t="s">
        <v>75</v>
      </c>
      <c r="D414" s="130" t="s">
        <v>27</v>
      </c>
      <c r="E414" s="130" t="s">
        <v>138</v>
      </c>
      <c r="F414" s="130" t="s">
        <v>134</v>
      </c>
      <c r="G414" s="130" t="s">
        <v>134</v>
      </c>
      <c r="H414" s="132">
        <v>14699.0</v>
      </c>
      <c r="I414" s="130" t="s">
        <v>21</v>
      </c>
      <c r="J414" s="126"/>
      <c r="K414" s="126"/>
      <c r="L414" s="126"/>
      <c r="M414" s="126"/>
      <c r="N414" s="126"/>
      <c r="O414" s="126"/>
    </row>
    <row r="415" ht="15.75" customHeight="1">
      <c r="A415" s="130">
        <v>2023.0</v>
      </c>
      <c r="B415" s="130" t="s">
        <v>125</v>
      </c>
      <c r="C415" s="130" t="s">
        <v>75</v>
      </c>
      <c r="D415" s="130" t="s">
        <v>25</v>
      </c>
      <c r="E415" s="130" t="s">
        <v>138</v>
      </c>
      <c r="F415" s="130" t="s">
        <v>137</v>
      </c>
      <c r="G415" s="130" t="s">
        <v>136</v>
      </c>
      <c r="H415" s="132">
        <v>23.0</v>
      </c>
      <c r="I415" s="130" t="s">
        <v>20</v>
      </c>
      <c r="J415" s="126"/>
      <c r="K415" s="126"/>
      <c r="L415" s="126"/>
      <c r="M415" s="126"/>
      <c r="N415" s="126"/>
      <c r="O415" s="126"/>
    </row>
    <row r="416" ht="15.75" customHeight="1">
      <c r="A416" s="130">
        <v>2023.0</v>
      </c>
      <c r="B416" s="130" t="s">
        <v>125</v>
      </c>
      <c r="C416" s="130" t="s">
        <v>75</v>
      </c>
      <c r="D416" s="130" t="s">
        <v>25</v>
      </c>
      <c r="E416" s="130" t="s">
        <v>138</v>
      </c>
      <c r="F416" s="130" t="s">
        <v>137</v>
      </c>
      <c r="G416" s="130" t="s">
        <v>136</v>
      </c>
      <c r="H416" s="132">
        <v>5818.0</v>
      </c>
      <c r="I416" s="130" t="s">
        <v>21</v>
      </c>
      <c r="J416" s="126"/>
      <c r="K416" s="126"/>
      <c r="L416" s="126"/>
      <c r="M416" s="126"/>
      <c r="N416" s="126"/>
      <c r="O416" s="126"/>
    </row>
    <row r="417" ht="15.75" customHeight="1">
      <c r="A417" s="130">
        <v>2023.0</v>
      </c>
      <c r="B417" s="130" t="s">
        <v>125</v>
      </c>
      <c r="C417" s="130" t="s">
        <v>75</v>
      </c>
      <c r="D417" s="130" t="s">
        <v>26</v>
      </c>
      <c r="E417" s="130" t="s">
        <v>126</v>
      </c>
      <c r="F417" s="130" t="s">
        <v>137</v>
      </c>
      <c r="G417" s="130" t="s">
        <v>136</v>
      </c>
      <c r="H417" s="132">
        <v>1698.0</v>
      </c>
      <c r="I417" s="130" t="s">
        <v>20</v>
      </c>
      <c r="J417" s="126"/>
      <c r="K417" s="126"/>
      <c r="L417" s="126"/>
      <c r="M417" s="126"/>
      <c r="N417" s="126"/>
      <c r="O417" s="126"/>
    </row>
    <row r="418" ht="15.75" customHeight="1">
      <c r="A418" s="130">
        <v>2023.0</v>
      </c>
      <c r="B418" s="130" t="s">
        <v>125</v>
      </c>
      <c r="C418" s="130" t="s">
        <v>75</v>
      </c>
      <c r="D418" s="130" t="s">
        <v>27</v>
      </c>
      <c r="E418" s="130" t="s">
        <v>138</v>
      </c>
      <c r="F418" s="130" t="s">
        <v>137</v>
      </c>
      <c r="G418" s="130" t="s">
        <v>136</v>
      </c>
      <c r="H418" s="132">
        <v>12401.0</v>
      </c>
      <c r="I418" s="130" t="s">
        <v>22</v>
      </c>
      <c r="J418" s="126"/>
      <c r="K418" s="126"/>
      <c r="L418" s="126"/>
      <c r="M418" s="126"/>
      <c r="N418" s="126"/>
      <c r="O418" s="126"/>
    </row>
    <row r="419" ht="15.75" customHeight="1">
      <c r="A419" s="130">
        <v>2023.0</v>
      </c>
      <c r="B419" s="130" t="s">
        <v>125</v>
      </c>
      <c r="C419" s="130" t="s">
        <v>75</v>
      </c>
      <c r="D419" s="130" t="s">
        <v>27</v>
      </c>
      <c r="E419" s="130" t="s">
        <v>138</v>
      </c>
      <c r="F419" s="130" t="s">
        <v>137</v>
      </c>
      <c r="G419" s="130" t="s">
        <v>136</v>
      </c>
      <c r="H419" s="132">
        <v>0.0</v>
      </c>
      <c r="I419" s="130" t="s">
        <v>20</v>
      </c>
      <c r="J419" s="126"/>
      <c r="K419" s="126"/>
      <c r="L419" s="126"/>
      <c r="M419" s="126"/>
      <c r="N419" s="126"/>
      <c r="O419" s="126"/>
    </row>
    <row r="420" ht="15.75" customHeight="1">
      <c r="A420" s="130">
        <v>2023.0</v>
      </c>
      <c r="B420" s="130" t="s">
        <v>125</v>
      </c>
      <c r="C420" s="130" t="s">
        <v>75</v>
      </c>
      <c r="D420" s="130" t="s">
        <v>27</v>
      </c>
      <c r="E420" s="130" t="s">
        <v>138</v>
      </c>
      <c r="F420" s="130" t="s">
        <v>137</v>
      </c>
      <c r="G420" s="130" t="s">
        <v>136</v>
      </c>
      <c r="H420" s="132">
        <v>19915.0</v>
      </c>
      <c r="I420" s="130" t="s">
        <v>21</v>
      </c>
      <c r="J420" s="126"/>
      <c r="K420" s="126"/>
      <c r="L420" s="126"/>
      <c r="M420" s="126"/>
      <c r="N420" s="126"/>
      <c r="O420" s="126"/>
    </row>
    <row r="421" ht="15.75" customHeight="1">
      <c r="A421" s="130">
        <v>2023.0</v>
      </c>
      <c r="B421" s="130" t="s">
        <v>125</v>
      </c>
      <c r="C421" s="130" t="s">
        <v>75</v>
      </c>
      <c r="D421" s="130" t="s">
        <v>28</v>
      </c>
      <c r="E421" s="130" t="s">
        <v>126</v>
      </c>
      <c r="F421" s="130" t="s">
        <v>127</v>
      </c>
      <c r="G421" s="130" t="s">
        <v>128</v>
      </c>
      <c r="H421" s="132">
        <v>0.0</v>
      </c>
      <c r="I421" s="130" t="s">
        <v>23</v>
      </c>
      <c r="J421" s="126"/>
      <c r="K421" s="126"/>
      <c r="L421" s="126"/>
      <c r="M421" s="126"/>
      <c r="N421" s="126"/>
      <c r="O421" s="126"/>
    </row>
    <row r="422" ht="15.75" customHeight="1">
      <c r="A422" s="130">
        <v>2023.0</v>
      </c>
      <c r="B422" s="130" t="s">
        <v>125</v>
      </c>
      <c r="C422" s="130" t="s">
        <v>75</v>
      </c>
      <c r="D422" s="130" t="s">
        <v>25</v>
      </c>
      <c r="E422" s="130" t="s">
        <v>138</v>
      </c>
      <c r="F422" s="130" t="s">
        <v>127</v>
      </c>
      <c r="G422" s="130" t="s">
        <v>128</v>
      </c>
      <c r="H422" s="132">
        <v>54000.0</v>
      </c>
      <c r="I422" s="130" t="s">
        <v>20</v>
      </c>
      <c r="J422" s="126"/>
      <c r="K422" s="126"/>
      <c r="L422" s="126"/>
      <c r="M422" s="126"/>
      <c r="N422" s="126"/>
      <c r="O422" s="126"/>
    </row>
    <row r="423" ht="15.75" customHeight="1">
      <c r="A423" s="130">
        <v>2023.0</v>
      </c>
      <c r="B423" s="130" t="s">
        <v>125</v>
      </c>
      <c r="C423" s="130" t="s">
        <v>75</v>
      </c>
      <c r="D423" s="130" t="s">
        <v>26</v>
      </c>
      <c r="E423" s="130" t="s">
        <v>126</v>
      </c>
      <c r="F423" s="130" t="s">
        <v>127</v>
      </c>
      <c r="G423" s="130" t="s">
        <v>128</v>
      </c>
      <c r="H423" s="132">
        <v>10366.0</v>
      </c>
      <c r="I423" s="130" t="s">
        <v>20</v>
      </c>
      <c r="J423" s="126"/>
      <c r="K423" s="126"/>
      <c r="L423" s="126"/>
      <c r="M423" s="126"/>
      <c r="N423" s="126"/>
      <c r="O423" s="126"/>
    </row>
    <row r="424" ht="15.75" customHeight="1">
      <c r="A424" s="130">
        <v>2023.0</v>
      </c>
      <c r="B424" s="130" t="s">
        <v>125</v>
      </c>
      <c r="C424" s="130" t="s">
        <v>75</v>
      </c>
      <c r="D424" s="130" t="s">
        <v>27</v>
      </c>
      <c r="E424" s="130" t="s">
        <v>138</v>
      </c>
      <c r="F424" s="130" t="s">
        <v>127</v>
      </c>
      <c r="G424" s="130" t="s">
        <v>128</v>
      </c>
      <c r="H424" s="132">
        <v>70551.0</v>
      </c>
      <c r="I424" s="130" t="s">
        <v>20</v>
      </c>
      <c r="J424" s="126"/>
      <c r="K424" s="126"/>
      <c r="L424" s="126"/>
      <c r="M424" s="126"/>
      <c r="N424" s="126"/>
      <c r="O424" s="126"/>
    </row>
    <row r="425" ht="15.75" customHeight="1">
      <c r="A425" s="130">
        <v>2023.0</v>
      </c>
      <c r="B425" s="130" t="s">
        <v>125</v>
      </c>
      <c r="C425" s="130" t="s">
        <v>75</v>
      </c>
      <c r="D425" s="130" t="s">
        <v>27</v>
      </c>
      <c r="E425" s="130" t="s">
        <v>138</v>
      </c>
      <c r="F425" s="130" t="s">
        <v>127</v>
      </c>
      <c r="G425" s="130" t="s">
        <v>128</v>
      </c>
      <c r="H425" s="132">
        <v>19500.0</v>
      </c>
      <c r="I425" s="130" t="s">
        <v>23</v>
      </c>
      <c r="J425" s="126"/>
      <c r="K425" s="126"/>
      <c r="L425" s="126"/>
      <c r="M425" s="126"/>
      <c r="N425" s="126"/>
      <c r="O425" s="126"/>
    </row>
    <row r="426" ht="15.75" customHeight="1">
      <c r="A426" s="130">
        <v>2023.0</v>
      </c>
      <c r="B426" s="130" t="s">
        <v>129</v>
      </c>
      <c r="C426" s="130" t="s">
        <v>76</v>
      </c>
      <c r="D426" s="130" t="s">
        <v>25</v>
      </c>
      <c r="E426" s="130" t="s">
        <v>138</v>
      </c>
      <c r="F426" s="130" t="s">
        <v>112</v>
      </c>
      <c r="G426" s="130" t="s">
        <v>128</v>
      </c>
      <c r="H426" s="132">
        <v>0.0</v>
      </c>
      <c r="I426" s="130" t="s">
        <v>20</v>
      </c>
      <c r="J426" s="126"/>
      <c r="K426" s="126"/>
      <c r="L426" s="126"/>
      <c r="M426" s="126"/>
      <c r="N426" s="126"/>
      <c r="O426" s="126"/>
    </row>
    <row r="427" ht="15.75" customHeight="1">
      <c r="A427" s="130">
        <v>2023.0</v>
      </c>
      <c r="B427" s="130" t="s">
        <v>129</v>
      </c>
      <c r="C427" s="130" t="s">
        <v>76</v>
      </c>
      <c r="D427" s="130" t="s">
        <v>25</v>
      </c>
      <c r="E427" s="130" t="s">
        <v>138</v>
      </c>
      <c r="F427" s="130" t="s">
        <v>112</v>
      </c>
      <c r="G427" s="130" t="s">
        <v>128</v>
      </c>
      <c r="H427" s="132">
        <v>3980.0</v>
      </c>
      <c r="I427" s="130" t="s">
        <v>21</v>
      </c>
      <c r="J427" s="126"/>
      <c r="K427" s="126"/>
      <c r="L427" s="126"/>
      <c r="M427" s="126"/>
      <c r="N427" s="126"/>
      <c r="O427" s="126"/>
    </row>
    <row r="428" ht="15.75" customHeight="1">
      <c r="A428" s="130">
        <v>2023.0</v>
      </c>
      <c r="B428" s="130" t="s">
        <v>129</v>
      </c>
      <c r="C428" s="130" t="s">
        <v>76</v>
      </c>
      <c r="D428" s="130" t="s">
        <v>26</v>
      </c>
      <c r="E428" s="130" t="s">
        <v>126</v>
      </c>
      <c r="F428" s="130" t="s">
        <v>112</v>
      </c>
      <c r="G428" s="130" t="s">
        <v>128</v>
      </c>
      <c r="H428" s="132">
        <v>1020.0</v>
      </c>
      <c r="I428" s="130" t="s">
        <v>20</v>
      </c>
      <c r="J428" s="126"/>
      <c r="K428" s="126"/>
      <c r="L428" s="126"/>
      <c r="M428" s="126"/>
      <c r="N428" s="126"/>
      <c r="O428" s="126"/>
    </row>
    <row r="429" ht="15.75" customHeight="1">
      <c r="A429" s="130">
        <v>2023.0</v>
      </c>
      <c r="B429" s="130" t="s">
        <v>129</v>
      </c>
      <c r="C429" s="130" t="s">
        <v>76</v>
      </c>
      <c r="D429" s="130" t="s">
        <v>27</v>
      </c>
      <c r="E429" s="130" t="s">
        <v>138</v>
      </c>
      <c r="F429" s="130" t="s">
        <v>112</v>
      </c>
      <c r="G429" s="130" t="s">
        <v>128</v>
      </c>
      <c r="H429" s="132"/>
      <c r="I429" s="130" t="s">
        <v>20</v>
      </c>
      <c r="J429" s="126"/>
      <c r="K429" s="126"/>
      <c r="L429" s="126"/>
      <c r="M429" s="126"/>
      <c r="N429" s="126"/>
      <c r="O429" s="126"/>
    </row>
    <row r="430" ht="15.75" customHeight="1">
      <c r="A430" s="130">
        <v>2023.0</v>
      </c>
      <c r="B430" s="130" t="s">
        <v>129</v>
      </c>
      <c r="C430" s="130" t="s">
        <v>76</v>
      </c>
      <c r="D430" s="130" t="s">
        <v>27</v>
      </c>
      <c r="E430" s="130" t="s">
        <v>138</v>
      </c>
      <c r="F430" s="130" t="s">
        <v>112</v>
      </c>
      <c r="G430" s="130" t="s">
        <v>128</v>
      </c>
      <c r="H430" s="132">
        <v>6923.0</v>
      </c>
      <c r="I430" s="130" t="s">
        <v>21</v>
      </c>
      <c r="J430" s="126"/>
      <c r="K430" s="126"/>
      <c r="L430" s="126"/>
      <c r="M430" s="126"/>
      <c r="N430" s="126"/>
      <c r="O430" s="126"/>
    </row>
    <row r="431" ht="15.75" customHeight="1">
      <c r="A431" s="130">
        <v>2023.0</v>
      </c>
      <c r="B431" s="130" t="s">
        <v>129</v>
      </c>
      <c r="C431" s="130" t="s">
        <v>76</v>
      </c>
      <c r="D431" s="130" t="s">
        <v>25</v>
      </c>
      <c r="E431" s="130" t="s">
        <v>138</v>
      </c>
      <c r="F431" s="130" t="s">
        <v>135</v>
      </c>
      <c r="G431" s="130" t="s">
        <v>136</v>
      </c>
      <c r="H431" s="132">
        <v>33650.0</v>
      </c>
      <c r="I431" s="130" t="s">
        <v>21</v>
      </c>
      <c r="J431" s="126"/>
      <c r="K431" s="126"/>
      <c r="L431" s="126"/>
      <c r="M431" s="126"/>
      <c r="N431" s="126"/>
      <c r="O431" s="126"/>
    </row>
    <row r="432" ht="15.75" customHeight="1">
      <c r="A432" s="130">
        <v>2023.0</v>
      </c>
      <c r="B432" s="130" t="s">
        <v>129</v>
      </c>
      <c r="C432" s="130" t="s">
        <v>76</v>
      </c>
      <c r="D432" s="130" t="s">
        <v>26</v>
      </c>
      <c r="E432" s="130" t="s">
        <v>126</v>
      </c>
      <c r="F432" s="130" t="s">
        <v>135</v>
      </c>
      <c r="G432" s="130" t="s">
        <v>136</v>
      </c>
      <c r="H432" s="132">
        <v>2154.0</v>
      </c>
      <c r="I432" s="130" t="s">
        <v>20</v>
      </c>
      <c r="J432" s="126"/>
      <c r="K432" s="126"/>
      <c r="L432" s="126"/>
      <c r="M432" s="126"/>
      <c r="N432" s="126"/>
      <c r="O432" s="126"/>
    </row>
    <row r="433" ht="15.75" customHeight="1">
      <c r="A433" s="130">
        <v>2023.0</v>
      </c>
      <c r="B433" s="130" t="s">
        <v>129</v>
      </c>
      <c r="C433" s="130" t="s">
        <v>76</v>
      </c>
      <c r="D433" s="130" t="s">
        <v>27</v>
      </c>
      <c r="E433" s="130" t="s">
        <v>138</v>
      </c>
      <c r="F433" s="130" t="s">
        <v>135</v>
      </c>
      <c r="G433" s="130" t="s">
        <v>136</v>
      </c>
      <c r="H433" s="132">
        <v>136285.0</v>
      </c>
      <c r="I433" s="130" t="s">
        <v>21</v>
      </c>
      <c r="J433" s="126"/>
      <c r="K433" s="126"/>
      <c r="L433" s="126"/>
      <c r="M433" s="126"/>
      <c r="N433" s="126"/>
      <c r="O433" s="126"/>
    </row>
    <row r="434" ht="15.75" customHeight="1">
      <c r="A434" s="130">
        <v>2023.0</v>
      </c>
      <c r="B434" s="130" t="s">
        <v>129</v>
      </c>
      <c r="C434" s="130" t="s">
        <v>76</v>
      </c>
      <c r="D434" s="130" t="s">
        <v>25</v>
      </c>
      <c r="E434" s="130" t="s">
        <v>138</v>
      </c>
      <c r="F434" s="130" t="s">
        <v>134</v>
      </c>
      <c r="G434" s="130" t="s">
        <v>134</v>
      </c>
      <c r="H434" s="132">
        <v>37345.0</v>
      </c>
      <c r="I434" s="130" t="s">
        <v>21</v>
      </c>
      <c r="J434" s="126"/>
      <c r="K434" s="126"/>
      <c r="L434" s="126"/>
      <c r="M434" s="126"/>
      <c r="N434" s="126"/>
      <c r="O434" s="126"/>
    </row>
    <row r="435" ht="15.75" customHeight="1">
      <c r="A435" s="130">
        <v>2023.0</v>
      </c>
      <c r="B435" s="130" t="s">
        <v>129</v>
      </c>
      <c r="C435" s="130" t="s">
        <v>76</v>
      </c>
      <c r="D435" s="130" t="s">
        <v>26</v>
      </c>
      <c r="E435" s="130" t="s">
        <v>126</v>
      </c>
      <c r="F435" s="130" t="s">
        <v>134</v>
      </c>
      <c r="G435" s="130" t="s">
        <v>134</v>
      </c>
      <c r="H435" s="132">
        <v>1915.0</v>
      </c>
      <c r="I435" s="130" t="s">
        <v>20</v>
      </c>
      <c r="J435" s="126"/>
      <c r="K435" s="126"/>
      <c r="L435" s="126"/>
      <c r="M435" s="126"/>
      <c r="N435" s="126"/>
      <c r="O435" s="126"/>
    </row>
    <row r="436" ht="15.75" customHeight="1">
      <c r="A436" s="130">
        <v>2023.0</v>
      </c>
      <c r="B436" s="130" t="s">
        <v>129</v>
      </c>
      <c r="C436" s="130" t="s">
        <v>76</v>
      </c>
      <c r="D436" s="130" t="s">
        <v>27</v>
      </c>
      <c r="E436" s="130" t="s">
        <v>138</v>
      </c>
      <c r="F436" s="130" t="s">
        <v>134</v>
      </c>
      <c r="G436" s="130" t="s">
        <v>134</v>
      </c>
      <c r="H436" s="132">
        <v>45754.0</v>
      </c>
      <c r="I436" s="130" t="s">
        <v>22</v>
      </c>
      <c r="J436" s="126"/>
      <c r="K436" s="126"/>
      <c r="L436" s="126"/>
      <c r="M436" s="126"/>
      <c r="N436" s="126"/>
      <c r="O436" s="126"/>
    </row>
    <row r="437" ht="15.75" customHeight="1">
      <c r="A437" s="130">
        <v>2023.0</v>
      </c>
      <c r="B437" s="130" t="s">
        <v>129</v>
      </c>
      <c r="C437" s="130" t="s">
        <v>76</v>
      </c>
      <c r="D437" s="130" t="s">
        <v>27</v>
      </c>
      <c r="E437" s="130" t="s">
        <v>138</v>
      </c>
      <c r="F437" s="130" t="s">
        <v>134</v>
      </c>
      <c r="G437" s="130" t="s">
        <v>134</v>
      </c>
      <c r="H437" s="132">
        <v>8138.0</v>
      </c>
      <c r="I437" s="130" t="s">
        <v>21</v>
      </c>
      <c r="J437" s="126"/>
      <c r="K437" s="126"/>
      <c r="L437" s="126"/>
      <c r="M437" s="126"/>
      <c r="N437" s="126"/>
      <c r="O437" s="126"/>
    </row>
    <row r="438" ht="15.75" customHeight="1">
      <c r="A438" s="130">
        <v>2023.0</v>
      </c>
      <c r="B438" s="130" t="s">
        <v>129</v>
      </c>
      <c r="C438" s="130" t="s">
        <v>76</v>
      </c>
      <c r="D438" s="130" t="s">
        <v>25</v>
      </c>
      <c r="E438" s="130" t="s">
        <v>138</v>
      </c>
      <c r="F438" s="130" t="s">
        <v>137</v>
      </c>
      <c r="G438" s="130" t="s">
        <v>136</v>
      </c>
      <c r="H438" s="132">
        <v>0.0</v>
      </c>
      <c r="I438" s="130" t="s">
        <v>20</v>
      </c>
      <c r="J438" s="126"/>
      <c r="K438" s="126"/>
      <c r="L438" s="126"/>
      <c r="M438" s="126"/>
      <c r="N438" s="126"/>
      <c r="O438" s="126"/>
    </row>
    <row r="439" ht="15.75" customHeight="1">
      <c r="A439" s="130">
        <v>2023.0</v>
      </c>
      <c r="B439" s="130" t="s">
        <v>129</v>
      </c>
      <c r="C439" s="130" t="s">
        <v>76</v>
      </c>
      <c r="D439" s="130" t="s">
        <v>25</v>
      </c>
      <c r="E439" s="130" t="s">
        <v>138</v>
      </c>
      <c r="F439" s="130" t="s">
        <v>137</v>
      </c>
      <c r="G439" s="130" t="s">
        <v>136</v>
      </c>
      <c r="H439" s="132">
        <v>8752.0</v>
      </c>
      <c r="I439" s="130" t="s">
        <v>21</v>
      </c>
      <c r="J439" s="126"/>
      <c r="K439" s="126"/>
      <c r="L439" s="126"/>
      <c r="M439" s="126"/>
      <c r="N439" s="126"/>
      <c r="O439" s="126"/>
    </row>
    <row r="440" ht="15.75" customHeight="1">
      <c r="A440" s="130">
        <v>2023.0</v>
      </c>
      <c r="B440" s="130" t="s">
        <v>129</v>
      </c>
      <c r="C440" s="130" t="s">
        <v>76</v>
      </c>
      <c r="D440" s="130" t="s">
        <v>26</v>
      </c>
      <c r="E440" s="130" t="s">
        <v>126</v>
      </c>
      <c r="F440" s="130" t="s">
        <v>137</v>
      </c>
      <c r="G440" s="130" t="s">
        <v>136</v>
      </c>
      <c r="H440" s="132">
        <v>1051.0</v>
      </c>
      <c r="I440" s="130" t="s">
        <v>20</v>
      </c>
      <c r="J440" s="126"/>
      <c r="K440" s="126"/>
      <c r="L440" s="126"/>
      <c r="M440" s="126"/>
      <c r="N440" s="126"/>
      <c r="O440" s="126"/>
    </row>
    <row r="441" ht="15.75" customHeight="1">
      <c r="A441" s="130">
        <v>2023.0</v>
      </c>
      <c r="B441" s="130" t="s">
        <v>129</v>
      </c>
      <c r="C441" s="130" t="s">
        <v>76</v>
      </c>
      <c r="D441" s="130" t="s">
        <v>27</v>
      </c>
      <c r="E441" s="130" t="s">
        <v>138</v>
      </c>
      <c r="F441" s="130" t="s">
        <v>137</v>
      </c>
      <c r="G441" s="130" t="s">
        <v>136</v>
      </c>
      <c r="H441" s="132">
        <v>5047.0</v>
      </c>
      <c r="I441" s="130" t="s">
        <v>22</v>
      </c>
      <c r="J441" s="126"/>
      <c r="K441" s="126"/>
      <c r="L441" s="126"/>
      <c r="M441" s="126"/>
      <c r="N441" s="126"/>
      <c r="O441" s="126"/>
    </row>
    <row r="442" ht="15.75" customHeight="1">
      <c r="A442" s="130">
        <v>2023.0</v>
      </c>
      <c r="B442" s="130" t="s">
        <v>129</v>
      </c>
      <c r="C442" s="130" t="s">
        <v>76</v>
      </c>
      <c r="D442" s="130" t="s">
        <v>27</v>
      </c>
      <c r="E442" s="130" t="s">
        <v>138</v>
      </c>
      <c r="F442" s="130" t="s">
        <v>137</v>
      </c>
      <c r="G442" s="130" t="s">
        <v>136</v>
      </c>
      <c r="H442" s="132"/>
      <c r="I442" s="130" t="s">
        <v>20</v>
      </c>
      <c r="J442" s="126"/>
      <c r="K442" s="126"/>
      <c r="L442" s="126"/>
      <c r="M442" s="126"/>
      <c r="N442" s="126"/>
      <c r="O442" s="126"/>
    </row>
    <row r="443" ht="15.75" customHeight="1">
      <c r="A443" s="130">
        <v>2023.0</v>
      </c>
      <c r="B443" s="130" t="s">
        <v>129</v>
      </c>
      <c r="C443" s="130" t="s">
        <v>76</v>
      </c>
      <c r="D443" s="130" t="s">
        <v>27</v>
      </c>
      <c r="E443" s="130" t="s">
        <v>138</v>
      </c>
      <c r="F443" s="130" t="s">
        <v>137</v>
      </c>
      <c r="G443" s="130" t="s">
        <v>136</v>
      </c>
      <c r="H443" s="132">
        <v>18050.0</v>
      </c>
      <c r="I443" s="130" t="s">
        <v>21</v>
      </c>
      <c r="J443" s="126"/>
      <c r="K443" s="126"/>
      <c r="L443" s="126"/>
      <c r="M443" s="126"/>
      <c r="N443" s="126"/>
      <c r="O443" s="126"/>
    </row>
    <row r="444" ht="15.75" customHeight="1">
      <c r="A444" s="130">
        <v>2023.0</v>
      </c>
      <c r="B444" s="130" t="s">
        <v>129</v>
      </c>
      <c r="C444" s="130" t="s">
        <v>76</v>
      </c>
      <c r="D444" s="130" t="s">
        <v>28</v>
      </c>
      <c r="E444" s="130" t="s">
        <v>126</v>
      </c>
      <c r="F444" s="130" t="s">
        <v>127</v>
      </c>
      <c r="G444" s="130" t="s">
        <v>128</v>
      </c>
      <c r="H444" s="132">
        <v>124.0</v>
      </c>
      <c r="I444" s="130" t="s">
        <v>23</v>
      </c>
      <c r="J444" s="126"/>
      <c r="K444" s="126"/>
      <c r="L444" s="126"/>
      <c r="M444" s="126"/>
      <c r="N444" s="126"/>
      <c r="O444" s="126"/>
    </row>
    <row r="445" ht="15.75" customHeight="1">
      <c r="A445" s="130">
        <v>2023.0</v>
      </c>
      <c r="B445" s="130" t="s">
        <v>129</v>
      </c>
      <c r="C445" s="130" t="s">
        <v>76</v>
      </c>
      <c r="D445" s="130" t="s">
        <v>25</v>
      </c>
      <c r="E445" s="130" t="s">
        <v>138</v>
      </c>
      <c r="F445" s="130" t="s">
        <v>127</v>
      </c>
      <c r="G445" s="130" t="s">
        <v>128</v>
      </c>
      <c r="H445" s="132">
        <v>50000.0</v>
      </c>
      <c r="I445" s="130" t="s">
        <v>20</v>
      </c>
      <c r="J445" s="126"/>
      <c r="K445" s="126"/>
      <c r="L445" s="126"/>
      <c r="M445" s="126"/>
      <c r="N445" s="126"/>
      <c r="O445" s="126"/>
    </row>
    <row r="446" ht="15.75" customHeight="1">
      <c r="A446" s="130">
        <v>2023.0</v>
      </c>
      <c r="B446" s="130" t="s">
        <v>129</v>
      </c>
      <c r="C446" s="130" t="s">
        <v>76</v>
      </c>
      <c r="D446" s="130" t="s">
        <v>26</v>
      </c>
      <c r="E446" s="130" t="s">
        <v>126</v>
      </c>
      <c r="F446" s="130" t="s">
        <v>127</v>
      </c>
      <c r="G446" s="130" t="s">
        <v>128</v>
      </c>
      <c r="H446" s="132">
        <v>16705.0</v>
      </c>
      <c r="I446" s="130" t="s">
        <v>20</v>
      </c>
      <c r="J446" s="126"/>
      <c r="K446" s="126"/>
      <c r="L446" s="126"/>
      <c r="M446" s="126"/>
      <c r="N446" s="126"/>
      <c r="O446" s="126"/>
    </row>
    <row r="447" ht="15.75" customHeight="1">
      <c r="A447" s="130">
        <v>2023.0</v>
      </c>
      <c r="B447" s="130" t="s">
        <v>129</v>
      </c>
      <c r="C447" s="130" t="s">
        <v>76</v>
      </c>
      <c r="D447" s="130" t="s">
        <v>27</v>
      </c>
      <c r="E447" s="130" t="s">
        <v>138</v>
      </c>
      <c r="F447" s="130" t="s">
        <v>127</v>
      </c>
      <c r="G447" s="130" t="s">
        <v>128</v>
      </c>
      <c r="H447" s="132">
        <v>68614.0</v>
      </c>
      <c r="I447" s="130" t="s">
        <v>20</v>
      </c>
      <c r="J447" s="126"/>
      <c r="K447" s="126"/>
      <c r="L447" s="126"/>
      <c r="M447" s="126"/>
      <c r="N447" s="126"/>
      <c r="O447" s="126"/>
    </row>
    <row r="448" ht="15.75" customHeight="1">
      <c r="A448" s="130">
        <v>2023.0</v>
      </c>
      <c r="B448" s="130" t="s">
        <v>129</v>
      </c>
      <c r="C448" s="130" t="s">
        <v>76</v>
      </c>
      <c r="D448" s="130" t="s">
        <v>27</v>
      </c>
      <c r="E448" s="130" t="s">
        <v>138</v>
      </c>
      <c r="F448" s="130" t="s">
        <v>127</v>
      </c>
      <c r="G448" s="130" t="s">
        <v>128</v>
      </c>
      <c r="H448" s="132">
        <v>39000.0</v>
      </c>
      <c r="I448" s="130" t="s">
        <v>23</v>
      </c>
      <c r="J448" s="126"/>
      <c r="K448" s="126"/>
      <c r="L448" s="126"/>
      <c r="M448" s="126"/>
      <c r="N448" s="126"/>
      <c r="O448" s="126"/>
    </row>
    <row r="449" ht="15.75" customHeight="1">
      <c r="A449" s="130">
        <v>2024.0</v>
      </c>
      <c r="B449" s="130" t="s">
        <v>132</v>
      </c>
      <c r="C449" s="130" t="s">
        <v>77</v>
      </c>
      <c r="D449" s="130" t="s">
        <v>25</v>
      </c>
      <c r="E449" s="130" t="s">
        <v>138</v>
      </c>
      <c r="F449" s="130" t="s">
        <v>112</v>
      </c>
      <c r="G449" s="130" t="s">
        <v>128</v>
      </c>
      <c r="H449" s="132">
        <v>0.0</v>
      </c>
      <c r="I449" s="130" t="s">
        <v>20</v>
      </c>
      <c r="J449" s="126"/>
      <c r="K449" s="126"/>
      <c r="L449" s="126"/>
      <c r="M449" s="126"/>
      <c r="N449" s="126"/>
      <c r="O449" s="126"/>
    </row>
    <row r="450" ht="15.75" customHeight="1">
      <c r="A450" s="130">
        <v>2024.0</v>
      </c>
      <c r="B450" s="130" t="s">
        <v>132</v>
      </c>
      <c r="C450" s="130" t="s">
        <v>77</v>
      </c>
      <c r="D450" s="130" t="s">
        <v>25</v>
      </c>
      <c r="E450" s="130" t="s">
        <v>138</v>
      </c>
      <c r="F450" s="130" t="s">
        <v>112</v>
      </c>
      <c r="G450" s="130" t="s">
        <v>128</v>
      </c>
      <c r="H450" s="132">
        <v>2326.0</v>
      </c>
      <c r="I450" s="130" t="s">
        <v>21</v>
      </c>
      <c r="J450" s="126"/>
      <c r="K450" s="126"/>
      <c r="L450" s="126"/>
      <c r="M450" s="126"/>
      <c r="N450" s="126"/>
      <c r="O450" s="126"/>
    </row>
    <row r="451" ht="15.75" customHeight="1">
      <c r="A451" s="130">
        <v>2024.0</v>
      </c>
      <c r="B451" s="130" t="s">
        <v>132</v>
      </c>
      <c r="C451" s="130" t="s">
        <v>77</v>
      </c>
      <c r="D451" s="130" t="s">
        <v>26</v>
      </c>
      <c r="E451" s="130" t="s">
        <v>126</v>
      </c>
      <c r="F451" s="130" t="s">
        <v>112</v>
      </c>
      <c r="G451" s="130" t="s">
        <v>128</v>
      </c>
      <c r="H451" s="132">
        <v>600.0</v>
      </c>
      <c r="I451" s="130" t="s">
        <v>20</v>
      </c>
      <c r="J451" s="126"/>
      <c r="K451" s="126"/>
      <c r="L451" s="126"/>
      <c r="M451" s="126"/>
      <c r="N451" s="126"/>
      <c r="O451" s="126"/>
    </row>
    <row r="452" ht="15.75" customHeight="1">
      <c r="A452" s="130">
        <v>2024.0</v>
      </c>
      <c r="B452" s="130" t="s">
        <v>132</v>
      </c>
      <c r="C452" s="130" t="s">
        <v>77</v>
      </c>
      <c r="D452" s="130" t="s">
        <v>27</v>
      </c>
      <c r="E452" s="130" t="s">
        <v>138</v>
      </c>
      <c r="F452" s="130" t="s">
        <v>112</v>
      </c>
      <c r="G452" s="130" t="s">
        <v>128</v>
      </c>
      <c r="H452" s="132">
        <v>0.0</v>
      </c>
      <c r="I452" s="130" t="s">
        <v>20</v>
      </c>
      <c r="J452" s="126"/>
      <c r="K452" s="126"/>
      <c r="L452" s="126"/>
      <c r="M452" s="126"/>
      <c r="N452" s="126"/>
      <c r="O452" s="126"/>
    </row>
    <row r="453" ht="15.75" customHeight="1">
      <c r="A453" s="130">
        <v>2024.0</v>
      </c>
      <c r="B453" s="130" t="s">
        <v>132</v>
      </c>
      <c r="C453" s="130" t="s">
        <v>77</v>
      </c>
      <c r="D453" s="130" t="s">
        <v>27</v>
      </c>
      <c r="E453" s="130" t="s">
        <v>138</v>
      </c>
      <c r="F453" s="130" t="s">
        <v>112</v>
      </c>
      <c r="G453" s="130" t="s">
        <v>128</v>
      </c>
      <c r="H453" s="132">
        <v>7396.0</v>
      </c>
      <c r="I453" s="130" t="s">
        <v>21</v>
      </c>
      <c r="J453" s="126"/>
      <c r="K453" s="126"/>
      <c r="L453" s="126"/>
      <c r="M453" s="126"/>
      <c r="N453" s="126"/>
      <c r="O453" s="126"/>
    </row>
    <row r="454" ht="15.75" customHeight="1">
      <c r="A454" s="130">
        <v>2024.0</v>
      </c>
      <c r="B454" s="130" t="s">
        <v>132</v>
      </c>
      <c r="C454" s="130" t="s">
        <v>77</v>
      </c>
      <c r="D454" s="130" t="s">
        <v>25</v>
      </c>
      <c r="E454" s="130" t="s">
        <v>138</v>
      </c>
      <c r="F454" s="130" t="s">
        <v>135</v>
      </c>
      <c r="G454" s="130" t="s">
        <v>136</v>
      </c>
      <c r="H454" s="132">
        <v>32054.0</v>
      </c>
      <c r="I454" s="130" t="s">
        <v>21</v>
      </c>
      <c r="J454" s="126"/>
      <c r="K454" s="126"/>
      <c r="L454" s="126"/>
      <c r="M454" s="126"/>
      <c r="N454" s="126"/>
      <c r="O454" s="126"/>
    </row>
    <row r="455" ht="15.75" customHeight="1">
      <c r="A455" s="130">
        <v>2024.0</v>
      </c>
      <c r="B455" s="130" t="s">
        <v>132</v>
      </c>
      <c r="C455" s="130" t="s">
        <v>77</v>
      </c>
      <c r="D455" s="130" t="s">
        <v>26</v>
      </c>
      <c r="E455" s="130" t="s">
        <v>126</v>
      </c>
      <c r="F455" s="130" t="s">
        <v>135</v>
      </c>
      <c r="G455" s="130" t="s">
        <v>136</v>
      </c>
      <c r="H455" s="132">
        <v>427.0</v>
      </c>
      <c r="I455" s="130" t="s">
        <v>20</v>
      </c>
      <c r="J455" s="126"/>
      <c r="K455" s="126"/>
      <c r="L455" s="126"/>
      <c r="M455" s="126"/>
      <c r="N455" s="126"/>
      <c r="O455" s="126"/>
    </row>
    <row r="456" ht="15.75" customHeight="1">
      <c r="A456" s="130">
        <v>2024.0</v>
      </c>
      <c r="B456" s="130" t="s">
        <v>132</v>
      </c>
      <c r="C456" s="130" t="s">
        <v>77</v>
      </c>
      <c r="D456" s="130" t="s">
        <v>27</v>
      </c>
      <c r="E456" s="130" t="s">
        <v>138</v>
      </c>
      <c r="F456" s="130" t="s">
        <v>135</v>
      </c>
      <c r="G456" s="130" t="s">
        <v>136</v>
      </c>
      <c r="H456" s="132">
        <v>100366.0</v>
      </c>
      <c r="I456" s="130" t="s">
        <v>21</v>
      </c>
      <c r="J456" s="126"/>
      <c r="K456" s="126"/>
      <c r="L456" s="126"/>
      <c r="M456" s="126"/>
      <c r="N456" s="126"/>
      <c r="O456" s="126"/>
    </row>
    <row r="457" ht="15.75" customHeight="1">
      <c r="A457" s="130">
        <v>2024.0</v>
      </c>
      <c r="B457" s="130" t="s">
        <v>132</v>
      </c>
      <c r="C457" s="130" t="s">
        <v>77</v>
      </c>
      <c r="D457" s="130" t="s">
        <v>25</v>
      </c>
      <c r="E457" s="130" t="s">
        <v>138</v>
      </c>
      <c r="F457" s="130" t="s">
        <v>134</v>
      </c>
      <c r="G457" s="130" t="s">
        <v>134</v>
      </c>
      <c r="H457" s="132">
        <v>24490.0</v>
      </c>
      <c r="I457" s="130" t="s">
        <v>21</v>
      </c>
      <c r="J457" s="126"/>
      <c r="K457" s="126"/>
      <c r="L457" s="126"/>
      <c r="M457" s="126"/>
      <c r="N457" s="126"/>
      <c r="O457" s="126"/>
    </row>
    <row r="458" ht="15.75" customHeight="1">
      <c r="A458" s="130">
        <v>2024.0</v>
      </c>
      <c r="B458" s="130" t="s">
        <v>132</v>
      </c>
      <c r="C458" s="130" t="s">
        <v>77</v>
      </c>
      <c r="D458" s="130" t="s">
        <v>26</v>
      </c>
      <c r="E458" s="130" t="s">
        <v>126</v>
      </c>
      <c r="F458" s="130" t="s">
        <v>134</v>
      </c>
      <c r="G458" s="130" t="s">
        <v>134</v>
      </c>
      <c r="H458" s="132">
        <v>1149.0</v>
      </c>
      <c r="I458" s="130" t="s">
        <v>20</v>
      </c>
      <c r="J458" s="126"/>
      <c r="K458" s="126"/>
      <c r="L458" s="126"/>
      <c r="M458" s="126"/>
      <c r="N458" s="126"/>
      <c r="O458" s="126"/>
    </row>
    <row r="459" ht="15.75" customHeight="1">
      <c r="A459" s="130">
        <v>2024.0</v>
      </c>
      <c r="B459" s="130" t="s">
        <v>132</v>
      </c>
      <c r="C459" s="130" t="s">
        <v>77</v>
      </c>
      <c r="D459" s="130" t="s">
        <v>27</v>
      </c>
      <c r="E459" s="130" t="s">
        <v>138</v>
      </c>
      <c r="F459" s="130" t="s">
        <v>134</v>
      </c>
      <c r="G459" s="130" t="s">
        <v>134</v>
      </c>
      <c r="H459" s="132">
        <v>50781.0</v>
      </c>
      <c r="I459" s="130" t="s">
        <v>22</v>
      </c>
      <c r="J459" s="126"/>
      <c r="K459" s="126"/>
      <c r="L459" s="126"/>
      <c r="M459" s="126"/>
      <c r="N459" s="126"/>
      <c r="O459" s="126"/>
    </row>
    <row r="460" ht="15.75" customHeight="1">
      <c r="A460" s="130">
        <v>2024.0</v>
      </c>
      <c r="B460" s="130" t="s">
        <v>132</v>
      </c>
      <c r="C460" s="130" t="s">
        <v>77</v>
      </c>
      <c r="D460" s="130" t="s">
        <v>27</v>
      </c>
      <c r="E460" s="130" t="s">
        <v>138</v>
      </c>
      <c r="F460" s="130" t="s">
        <v>134</v>
      </c>
      <c r="G460" s="130" t="s">
        <v>134</v>
      </c>
      <c r="H460" s="132">
        <v>9400.0</v>
      </c>
      <c r="I460" s="130" t="s">
        <v>21</v>
      </c>
      <c r="J460" s="126"/>
      <c r="K460" s="126"/>
      <c r="L460" s="126"/>
      <c r="M460" s="126"/>
      <c r="N460" s="126"/>
      <c r="O460" s="126"/>
    </row>
    <row r="461" ht="15.75" customHeight="1">
      <c r="A461" s="130">
        <v>2024.0</v>
      </c>
      <c r="B461" s="130" t="s">
        <v>132</v>
      </c>
      <c r="C461" s="130" t="s">
        <v>77</v>
      </c>
      <c r="D461" s="130" t="s">
        <v>25</v>
      </c>
      <c r="E461" s="130" t="s">
        <v>138</v>
      </c>
      <c r="F461" s="130" t="s">
        <v>137</v>
      </c>
      <c r="G461" s="130" t="s">
        <v>136</v>
      </c>
      <c r="H461" s="132">
        <v>0.0</v>
      </c>
      <c r="I461" s="130" t="s">
        <v>20</v>
      </c>
      <c r="J461" s="126"/>
      <c r="K461" s="126"/>
      <c r="L461" s="126"/>
      <c r="M461" s="126"/>
      <c r="N461" s="126"/>
      <c r="O461" s="126"/>
    </row>
    <row r="462" ht="15.75" customHeight="1">
      <c r="A462" s="130">
        <v>2024.0</v>
      </c>
      <c r="B462" s="130" t="s">
        <v>132</v>
      </c>
      <c r="C462" s="130" t="s">
        <v>77</v>
      </c>
      <c r="D462" s="130" t="s">
        <v>25</v>
      </c>
      <c r="E462" s="130" t="s">
        <v>138</v>
      </c>
      <c r="F462" s="130" t="s">
        <v>137</v>
      </c>
      <c r="G462" s="130" t="s">
        <v>136</v>
      </c>
      <c r="H462" s="132">
        <v>12499.0</v>
      </c>
      <c r="I462" s="130" t="s">
        <v>21</v>
      </c>
      <c r="J462" s="126"/>
      <c r="K462" s="126"/>
      <c r="L462" s="126"/>
      <c r="M462" s="126"/>
      <c r="N462" s="126"/>
      <c r="O462" s="126"/>
    </row>
    <row r="463" ht="15.75" customHeight="1">
      <c r="A463" s="130">
        <v>2024.0</v>
      </c>
      <c r="B463" s="130" t="s">
        <v>132</v>
      </c>
      <c r="C463" s="130" t="s">
        <v>77</v>
      </c>
      <c r="D463" s="130" t="s">
        <v>26</v>
      </c>
      <c r="E463" s="130" t="s">
        <v>126</v>
      </c>
      <c r="F463" s="130" t="s">
        <v>137</v>
      </c>
      <c r="G463" s="130" t="s">
        <v>136</v>
      </c>
      <c r="H463" s="132">
        <v>993.0</v>
      </c>
      <c r="I463" s="130" t="s">
        <v>20</v>
      </c>
      <c r="J463" s="126"/>
      <c r="K463" s="126"/>
      <c r="L463" s="126"/>
      <c r="M463" s="126"/>
      <c r="N463" s="126"/>
      <c r="O463" s="126"/>
    </row>
    <row r="464" ht="15.75" customHeight="1">
      <c r="A464" s="130">
        <v>2024.0</v>
      </c>
      <c r="B464" s="130" t="s">
        <v>132</v>
      </c>
      <c r="C464" s="130" t="s">
        <v>77</v>
      </c>
      <c r="D464" s="130" t="s">
        <v>27</v>
      </c>
      <c r="E464" s="130" t="s">
        <v>138</v>
      </c>
      <c r="F464" s="130" t="s">
        <v>137</v>
      </c>
      <c r="G464" s="130" t="s">
        <v>136</v>
      </c>
      <c r="H464" s="132">
        <v>2826.0</v>
      </c>
      <c r="I464" s="130" t="s">
        <v>22</v>
      </c>
      <c r="J464" s="126"/>
      <c r="K464" s="126"/>
      <c r="L464" s="126"/>
      <c r="M464" s="126"/>
      <c r="N464" s="126"/>
      <c r="O464" s="126"/>
    </row>
    <row r="465" ht="15.75" customHeight="1">
      <c r="A465" s="130">
        <v>2024.0</v>
      </c>
      <c r="B465" s="130" t="s">
        <v>132</v>
      </c>
      <c r="C465" s="130" t="s">
        <v>77</v>
      </c>
      <c r="D465" s="130" t="s">
        <v>27</v>
      </c>
      <c r="E465" s="130" t="s">
        <v>138</v>
      </c>
      <c r="F465" s="130" t="s">
        <v>137</v>
      </c>
      <c r="G465" s="130" t="s">
        <v>136</v>
      </c>
      <c r="H465" s="132"/>
      <c r="I465" s="130" t="s">
        <v>20</v>
      </c>
      <c r="J465" s="126"/>
      <c r="K465" s="126"/>
      <c r="L465" s="126"/>
      <c r="M465" s="126"/>
      <c r="N465" s="126"/>
      <c r="O465" s="126"/>
    </row>
    <row r="466" ht="15.75" customHeight="1">
      <c r="A466" s="130">
        <v>2024.0</v>
      </c>
      <c r="B466" s="130" t="s">
        <v>132</v>
      </c>
      <c r="C466" s="130" t="s">
        <v>77</v>
      </c>
      <c r="D466" s="130" t="s">
        <v>27</v>
      </c>
      <c r="E466" s="130" t="s">
        <v>138</v>
      </c>
      <c r="F466" s="130" t="s">
        <v>137</v>
      </c>
      <c r="G466" s="130" t="s">
        <v>136</v>
      </c>
      <c r="H466" s="132">
        <v>17385.0</v>
      </c>
      <c r="I466" s="130" t="s">
        <v>21</v>
      </c>
      <c r="J466" s="126"/>
      <c r="K466" s="126"/>
      <c r="L466" s="126"/>
      <c r="M466" s="126"/>
      <c r="N466" s="126"/>
      <c r="O466" s="126"/>
    </row>
    <row r="467" ht="15.75" customHeight="1">
      <c r="A467" s="130">
        <v>2024.0</v>
      </c>
      <c r="B467" s="130" t="s">
        <v>132</v>
      </c>
      <c r="C467" s="130" t="s">
        <v>77</v>
      </c>
      <c r="D467" s="130" t="s">
        <v>28</v>
      </c>
      <c r="E467" s="130" t="s">
        <v>126</v>
      </c>
      <c r="F467" s="130" t="s">
        <v>127</v>
      </c>
      <c r="G467" s="130" t="s">
        <v>128</v>
      </c>
      <c r="H467" s="132">
        <v>2600.0</v>
      </c>
      <c r="I467" s="130" t="s">
        <v>23</v>
      </c>
      <c r="J467" s="126"/>
      <c r="K467" s="126"/>
      <c r="L467" s="126"/>
      <c r="M467" s="126"/>
      <c r="N467" s="126"/>
      <c r="O467" s="126"/>
    </row>
    <row r="468" ht="15.75" customHeight="1">
      <c r="A468" s="130">
        <v>2024.0</v>
      </c>
      <c r="B468" s="130" t="s">
        <v>132</v>
      </c>
      <c r="C468" s="130" t="s">
        <v>77</v>
      </c>
      <c r="D468" s="130" t="s">
        <v>25</v>
      </c>
      <c r="E468" s="130" t="s">
        <v>138</v>
      </c>
      <c r="F468" s="130" t="s">
        <v>127</v>
      </c>
      <c r="G468" s="130" t="s">
        <v>128</v>
      </c>
      <c r="H468" s="132">
        <v>23000.0</v>
      </c>
      <c r="I468" s="130" t="s">
        <v>20</v>
      </c>
      <c r="J468" s="126"/>
      <c r="K468" s="126"/>
      <c r="L468" s="126"/>
      <c r="M468" s="126"/>
      <c r="N468" s="126"/>
      <c r="O468" s="126"/>
    </row>
    <row r="469" ht="15.75" customHeight="1">
      <c r="A469" s="130">
        <v>2024.0</v>
      </c>
      <c r="B469" s="130" t="s">
        <v>132</v>
      </c>
      <c r="C469" s="130" t="s">
        <v>77</v>
      </c>
      <c r="D469" s="130" t="s">
        <v>26</v>
      </c>
      <c r="E469" s="130" t="s">
        <v>126</v>
      </c>
      <c r="F469" s="130" t="s">
        <v>127</v>
      </c>
      <c r="G469" s="130" t="s">
        <v>128</v>
      </c>
      <c r="H469" s="132">
        <v>11258.0</v>
      </c>
      <c r="I469" s="130" t="s">
        <v>20</v>
      </c>
      <c r="J469" s="126"/>
      <c r="K469" s="126"/>
      <c r="L469" s="126"/>
      <c r="M469" s="126"/>
      <c r="N469" s="126"/>
      <c r="O469" s="126"/>
    </row>
    <row r="470" ht="15.75" customHeight="1">
      <c r="A470" s="130">
        <v>2024.0</v>
      </c>
      <c r="B470" s="130" t="s">
        <v>132</v>
      </c>
      <c r="C470" s="130" t="s">
        <v>77</v>
      </c>
      <c r="D470" s="130" t="s">
        <v>27</v>
      </c>
      <c r="E470" s="130" t="s">
        <v>138</v>
      </c>
      <c r="F470" s="130" t="s">
        <v>127</v>
      </c>
      <c r="G470" s="130" t="s">
        <v>128</v>
      </c>
      <c r="H470" s="132">
        <v>51260.0</v>
      </c>
      <c r="I470" s="130" t="s">
        <v>20</v>
      </c>
      <c r="J470" s="126"/>
      <c r="K470" s="126"/>
      <c r="L470" s="126"/>
      <c r="M470" s="126"/>
      <c r="N470" s="126"/>
      <c r="O470" s="126"/>
    </row>
    <row r="471" ht="15.75" customHeight="1">
      <c r="A471" s="130">
        <v>2024.0</v>
      </c>
      <c r="B471" s="130" t="s">
        <v>132</v>
      </c>
      <c r="C471" s="130" t="s">
        <v>77</v>
      </c>
      <c r="D471" s="130" t="s">
        <v>27</v>
      </c>
      <c r="E471" s="130" t="s">
        <v>138</v>
      </c>
      <c r="F471" s="130" t="s">
        <v>127</v>
      </c>
      <c r="G471" s="130" t="s">
        <v>128</v>
      </c>
      <c r="H471" s="132">
        <v>36000.0</v>
      </c>
      <c r="I471" s="130" t="s">
        <v>23</v>
      </c>
      <c r="J471" s="126"/>
      <c r="K471" s="126"/>
      <c r="L471" s="126"/>
      <c r="M471" s="126"/>
      <c r="N471" s="126"/>
      <c r="O471" s="126"/>
    </row>
    <row r="472" ht="15.75" customHeight="1">
      <c r="A472" s="130">
        <v>2024.0</v>
      </c>
      <c r="B472" s="130" t="s">
        <v>133</v>
      </c>
      <c r="C472" s="130" t="s">
        <v>78</v>
      </c>
      <c r="D472" s="130" t="s">
        <v>28</v>
      </c>
      <c r="E472" s="130" t="s">
        <v>126</v>
      </c>
      <c r="F472" s="130" t="s">
        <v>112</v>
      </c>
      <c r="G472" s="130" t="s">
        <v>128</v>
      </c>
      <c r="H472" s="132">
        <v>0.0</v>
      </c>
      <c r="I472" s="130" t="s">
        <v>23</v>
      </c>
      <c r="J472" s="126"/>
      <c r="K472" s="126"/>
      <c r="L472" s="126"/>
      <c r="M472" s="126"/>
      <c r="N472" s="126"/>
      <c r="O472" s="126"/>
    </row>
    <row r="473" ht="15.75" customHeight="1">
      <c r="A473" s="130">
        <v>2024.0</v>
      </c>
      <c r="B473" s="130" t="s">
        <v>133</v>
      </c>
      <c r="C473" s="130" t="s">
        <v>78</v>
      </c>
      <c r="D473" s="130" t="s">
        <v>25</v>
      </c>
      <c r="E473" s="130" t="s">
        <v>138</v>
      </c>
      <c r="F473" s="130" t="s">
        <v>112</v>
      </c>
      <c r="G473" s="130" t="s">
        <v>128</v>
      </c>
      <c r="H473" s="132">
        <v>0.0</v>
      </c>
      <c r="I473" s="130" t="s">
        <v>20</v>
      </c>
      <c r="J473" s="126"/>
      <c r="K473" s="126"/>
      <c r="L473" s="126"/>
      <c r="M473" s="126"/>
      <c r="N473" s="126"/>
      <c r="O473" s="126"/>
    </row>
    <row r="474" ht="15.75" customHeight="1">
      <c r="A474" s="130">
        <v>2024.0</v>
      </c>
      <c r="B474" s="130" t="s">
        <v>133</v>
      </c>
      <c r="C474" s="130" t="s">
        <v>78</v>
      </c>
      <c r="D474" s="130" t="s">
        <v>25</v>
      </c>
      <c r="E474" s="130" t="s">
        <v>138</v>
      </c>
      <c r="F474" s="130" t="s">
        <v>112</v>
      </c>
      <c r="G474" s="130" t="s">
        <v>128</v>
      </c>
      <c r="H474" s="132">
        <v>2680.0</v>
      </c>
      <c r="I474" s="130" t="s">
        <v>21</v>
      </c>
      <c r="J474" s="126"/>
      <c r="K474" s="126"/>
      <c r="L474" s="126"/>
      <c r="M474" s="126"/>
      <c r="N474" s="126"/>
      <c r="O474" s="126"/>
    </row>
    <row r="475" ht="15.75" customHeight="1">
      <c r="A475" s="130">
        <v>2024.0</v>
      </c>
      <c r="B475" s="130" t="s">
        <v>133</v>
      </c>
      <c r="C475" s="130" t="s">
        <v>78</v>
      </c>
      <c r="D475" s="130" t="s">
        <v>26</v>
      </c>
      <c r="E475" s="130" t="s">
        <v>126</v>
      </c>
      <c r="F475" s="130" t="s">
        <v>112</v>
      </c>
      <c r="G475" s="130" t="s">
        <v>128</v>
      </c>
      <c r="H475" s="132">
        <v>800.0</v>
      </c>
      <c r="I475" s="130" t="s">
        <v>20</v>
      </c>
      <c r="J475" s="126"/>
      <c r="K475" s="126"/>
      <c r="L475" s="126"/>
      <c r="M475" s="126"/>
      <c r="N475" s="126"/>
      <c r="O475" s="126"/>
    </row>
    <row r="476" ht="15.75" customHeight="1">
      <c r="A476" s="130">
        <v>2024.0</v>
      </c>
      <c r="B476" s="130" t="s">
        <v>133</v>
      </c>
      <c r="C476" s="130" t="s">
        <v>78</v>
      </c>
      <c r="D476" s="130" t="s">
        <v>27</v>
      </c>
      <c r="E476" s="130" t="s">
        <v>138</v>
      </c>
      <c r="F476" s="130" t="s">
        <v>112</v>
      </c>
      <c r="G476" s="130" t="s">
        <v>128</v>
      </c>
      <c r="H476" s="132">
        <v>6624.0</v>
      </c>
      <c r="I476" s="130" t="s">
        <v>20</v>
      </c>
      <c r="J476" s="126"/>
      <c r="K476" s="126"/>
      <c r="L476" s="126"/>
      <c r="M476" s="126"/>
      <c r="N476" s="126"/>
      <c r="O476" s="126"/>
    </row>
    <row r="477" ht="15.75" customHeight="1">
      <c r="A477" s="130">
        <v>2024.0</v>
      </c>
      <c r="B477" s="130" t="s">
        <v>133</v>
      </c>
      <c r="C477" s="130" t="s">
        <v>78</v>
      </c>
      <c r="D477" s="130" t="s">
        <v>27</v>
      </c>
      <c r="E477" s="130" t="s">
        <v>138</v>
      </c>
      <c r="F477" s="130" t="s">
        <v>112</v>
      </c>
      <c r="G477" s="130" t="s">
        <v>128</v>
      </c>
      <c r="H477" s="132">
        <v>500.0</v>
      </c>
      <c r="I477" s="130" t="s">
        <v>21</v>
      </c>
      <c r="J477" s="126"/>
      <c r="K477" s="126"/>
      <c r="L477" s="126"/>
      <c r="M477" s="126"/>
      <c r="N477" s="126"/>
      <c r="O477" s="126"/>
    </row>
    <row r="478" ht="15.75" customHeight="1">
      <c r="A478" s="130">
        <v>2024.0</v>
      </c>
      <c r="B478" s="130" t="s">
        <v>133</v>
      </c>
      <c r="C478" s="130" t="s">
        <v>78</v>
      </c>
      <c r="D478" s="130" t="s">
        <v>25</v>
      </c>
      <c r="E478" s="130" t="s">
        <v>138</v>
      </c>
      <c r="F478" s="130" t="s">
        <v>135</v>
      </c>
      <c r="G478" s="130" t="s">
        <v>136</v>
      </c>
      <c r="H478" s="132">
        <v>38446.0</v>
      </c>
      <c r="I478" s="130" t="s">
        <v>21</v>
      </c>
      <c r="J478" s="126"/>
      <c r="K478" s="126"/>
      <c r="L478" s="126"/>
      <c r="M478" s="126"/>
      <c r="N478" s="126"/>
      <c r="O478" s="126"/>
    </row>
    <row r="479" ht="15.75" customHeight="1">
      <c r="A479" s="130">
        <v>2024.0</v>
      </c>
      <c r="B479" s="130" t="s">
        <v>133</v>
      </c>
      <c r="C479" s="130" t="s">
        <v>78</v>
      </c>
      <c r="D479" s="130" t="s">
        <v>26</v>
      </c>
      <c r="E479" s="130" t="s">
        <v>126</v>
      </c>
      <c r="F479" s="130" t="s">
        <v>135</v>
      </c>
      <c r="G479" s="130" t="s">
        <v>136</v>
      </c>
      <c r="H479" s="132">
        <v>733.0</v>
      </c>
      <c r="I479" s="130" t="s">
        <v>20</v>
      </c>
      <c r="J479" s="126"/>
      <c r="K479" s="126"/>
      <c r="L479" s="126"/>
      <c r="M479" s="126"/>
      <c r="N479" s="126"/>
      <c r="O479" s="126"/>
    </row>
    <row r="480" ht="15.75" customHeight="1">
      <c r="A480" s="130">
        <v>2024.0</v>
      </c>
      <c r="B480" s="130" t="s">
        <v>133</v>
      </c>
      <c r="C480" s="130" t="s">
        <v>78</v>
      </c>
      <c r="D480" s="130" t="s">
        <v>27</v>
      </c>
      <c r="E480" s="130" t="s">
        <v>138</v>
      </c>
      <c r="F480" s="130" t="s">
        <v>135</v>
      </c>
      <c r="G480" s="130" t="s">
        <v>136</v>
      </c>
      <c r="H480" s="132">
        <v>107451.0</v>
      </c>
      <c r="I480" s="130" t="s">
        <v>21</v>
      </c>
      <c r="J480" s="126"/>
      <c r="K480" s="126"/>
      <c r="L480" s="126"/>
      <c r="M480" s="126"/>
      <c r="N480" s="126"/>
      <c r="O480" s="126"/>
    </row>
    <row r="481" ht="15.75" customHeight="1">
      <c r="A481" s="130">
        <v>2024.0</v>
      </c>
      <c r="B481" s="130" t="s">
        <v>133</v>
      </c>
      <c r="C481" s="130" t="s">
        <v>78</v>
      </c>
      <c r="D481" s="130" t="s">
        <v>25</v>
      </c>
      <c r="E481" s="130" t="s">
        <v>138</v>
      </c>
      <c r="F481" s="130" t="s">
        <v>134</v>
      </c>
      <c r="G481" s="130" t="s">
        <v>134</v>
      </c>
      <c r="H481" s="132">
        <v>31655.0</v>
      </c>
      <c r="I481" s="130" t="s">
        <v>21</v>
      </c>
      <c r="J481" s="126"/>
      <c r="K481" s="126"/>
      <c r="L481" s="126"/>
      <c r="M481" s="126"/>
      <c r="N481" s="126"/>
      <c r="O481" s="126"/>
    </row>
    <row r="482" ht="15.75" customHeight="1">
      <c r="A482" s="130">
        <v>2024.0</v>
      </c>
      <c r="B482" s="130" t="s">
        <v>133</v>
      </c>
      <c r="C482" s="130" t="s">
        <v>78</v>
      </c>
      <c r="D482" s="130" t="s">
        <v>26</v>
      </c>
      <c r="E482" s="130" t="s">
        <v>126</v>
      </c>
      <c r="F482" s="130" t="s">
        <v>134</v>
      </c>
      <c r="G482" s="130" t="s">
        <v>134</v>
      </c>
      <c r="H482" s="132">
        <v>715.0</v>
      </c>
      <c r="I482" s="130" t="s">
        <v>20</v>
      </c>
      <c r="J482" s="126"/>
      <c r="K482" s="126"/>
      <c r="L482" s="126"/>
      <c r="M482" s="126"/>
      <c r="N482" s="126"/>
      <c r="O482" s="126"/>
    </row>
    <row r="483" ht="15.75" customHeight="1">
      <c r="A483" s="130">
        <v>2024.0</v>
      </c>
      <c r="B483" s="130" t="s">
        <v>133</v>
      </c>
      <c r="C483" s="130" t="s">
        <v>78</v>
      </c>
      <c r="D483" s="130" t="s">
        <v>27</v>
      </c>
      <c r="E483" s="130" t="s">
        <v>138</v>
      </c>
      <c r="F483" s="130" t="s">
        <v>134</v>
      </c>
      <c r="G483" s="130" t="s">
        <v>134</v>
      </c>
      <c r="H483" s="132">
        <v>35247.0</v>
      </c>
      <c r="I483" s="130" t="s">
        <v>22</v>
      </c>
      <c r="J483" s="126"/>
      <c r="K483" s="126"/>
      <c r="L483" s="126"/>
      <c r="M483" s="126"/>
      <c r="N483" s="126"/>
      <c r="O483" s="126"/>
    </row>
    <row r="484" ht="15.75" customHeight="1">
      <c r="A484" s="130">
        <v>2024.0</v>
      </c>
      <c r="B484" s="130" t="s">
        <v>133</v>
      </c>
      <c r="C484" s="130" t="s">
        <v>78</v>
      </c>
      <c r="D484" s="130" t="s">
        <v>27</v>
      </c>
      <c r="E484" s="130" t="s">
        <v>138</v>
      </c>
      <c r="F484" s="130" t="s">
        <v>134</v>
      </c>
      <c r="G484" s="130" t="s">
        <v>134</v>
      </c>
      <c r="H484" s="132">
        <v>10800.0</v>
      </c>
      <c r="I484" s="130" t="s">
        <v>21</v>
      </c>
      <c r="J484" s="126"/>
      <c r="K484" s="126"/>
      <c r="L484" s="126"/>
      <c r="M484" s="126"/>
      <c r="N484" s="126"/>
      <c r="O484" s="126"/>
    </row>
    <row r="485" ht="15.75" customHeight="1">
      <c r="A485" s="130">
        <v>2024.0</v>
      </c>
      <c r="B485" s="130" t="s">
        <v>133</v>
      </c>
      <c r="C485" s="130" t="s">
        <v>78</v>
      </c>
      <c r="D485" s="130" t="s">
        <v>25</v>
      </c>
      <c r="E485" s="130" t="s">
        <v>138</v>
      </c>
      <c r="F485" s="130" t="s">
        <v>137</v>
      </c>
      <c r="G485" s="130" t="s">
        <v>136</v>
      </c>
      <c r="H485" s="132">
        <v>2015.0</v>
      </c>
      <c r="I485" s="130" t="s">
        <v>20</v>
      </c>
      <c r="J485" s="126"/>
      <c r="K485" s="126"/>
      <c r="L485" s="126"/>
      <c r="M485" s="126"/>
      <c r="N485" s="126"/>
      <c r="O485" s="126"/>
    </row>
    <row r="486" ht="15.75" customHeight="1">
      <c r="A486" s="130">
        <v>2024.0</v>
      </c>
      <c r="B486" s="130" t="s">
        <v>133</v>
      </c>
      <c r="C486" s="130" t="s">
        <v>78</v>
      </c>
      <c r="D486" s="130" t="s">
        <v>25</v>
      </c>
      <c r="E486" s="130" t="s">
        <v>138</v>
      </c>
      <c r="F486" s="130" t="s">
        <v>137</v>
      </c>
      <c r="G486" s="130" t="s">
        <v>136</v>
      </c>
      <c r="H486" s="132">
        <v>16676.0</v>
      </c>
      <c r="I486" s="130" t="s">
        <v>21</v>
      </c>
      <c r="J486" s="126"/>
      <c r="K486" s="126"/>
      <c r="L486" s="126"/>
      <c r="M486" s="126"/>
      <c r="N486" s="126"/>
      <c r="O486" s="126"/>
    </row>
    <row r="487" ht="15.75" customHeight="1">
      <c r="A487" s="130">
        <v>2024.0</v>
      </c>
      <c r="B487" s="130" t="s">
        <v>133</v>
      </c>
      <c r="C487" s="130" t="s">
        <v>78</v>
      </c>
      <c r="D487" s="130" t="s">
        <v>26</v>
      </c>
      <c r="E487" s="130" t="s">
        <v>126</v>
      </c>
      <c r="F487" s="130" t="s">
        <v>137</v>
      </c>
      <c r="G487" s="130" t="s">
        <v>136</v>
      </c>
      <c r="H487" s="132">
        <v>648.0</v>
      </c>
      <c r="I487" s="130" t="s">
        <v>20</v>
      </c>
      <c r="J487" s="126"/>
      <c r="K487" s="126"/>
      <c r="L487" s="126"/>
      <c r="M487" s="126"/>
      <c r="N487" s="126"/>
      <c r="O487" s="126"/>
    </row>
    <row r="488" ht="15.75" customHeight="1">
      <c r="A488" s="130">
        <v>2024.0</v>
      </c>
      <c r="B488" s="130" t="s">
        <v>133</v>
      </c>
      <c r="C488" s="130" t="s">
        <v>78</v>
      </c>
      <c r="D488" s="130" t="s">
        <v>27</v>
      </c>
      <c r="E488" s="130" t="s">
        <v>138</v>
      </c>
      <c r="F488" s="130" t="s">
        <v>137</v>
      </c>
      <c r="G488" s="130" t="s">
        <v>136</v>
      </c>
      <c r="H488" s="132">
        <v>6643.0</v>
      </c>
      <c r="I488" s="130" t="s">
        <v>22</v>
      </c>
      <c r="J488" s="126"/>
      <c r="K488" s="126"/>
      <c r="L488" s="126"/>
      <c r="M488" s="126"/>
      <c r="N488" s="126"/>
      <c r="O488" s="126"/>
    </row>
    <row r="489" ht="15.75" customHeight="1">
      <c r="A489" s="130">
        <v>2024.0</v>
      </c>
      <c r="B489" s="130" t="s">
        <v>133</v>
      </c>
      <c r="C489" s="130" t="s">
        <v>78</v>
      </c>
      <c r="D489" s="130" t="s">
        <v>27</v>
      </c>
      <c r="E489" s="130" t="s">
        <v>138</v>
      </c>
      <c r="F489" s="130" t="s">
        <v>137</v>
      </c>
      <c r="G489" s="130" t="s">
        <v>136</v>
      </c>
      <c r="H489" s="132"/>
      <c r="I489" s="130" t="s">
        <v>20</v>
      </c>
      <c r="J489" s="126"/>
      <c r="K489" s="126"/>
      <c r="L489" s="126"/>
      <c r="M489" s="126"/>
      <c r="N489" s="126"/>
      <c r="O489" s="126"/>
    </row>
    <row r="490" ht="15.75" customHeight="1">
      <c r="A490" s="130">
        <v>2024.0</v>
      </c>
      <c r="B490" s="130" t="s">
        <v>133</v>
      </c>
      <c r="C490" s="130" t="s">
        <v>78</v>
      </c>
      <c r="D490" s="130" t="s">
        <v>27</v>
      </c>
      <c r="E490" s="130" t="s">
        <v>138</v>
      </c>
      <c r="F490" s="130" t="s">
        <v>137</v>
      </c>
      <c r="G490" s="130" t="s">
        <v>136</v>
      </c>
      <c r="H490" s="132">
        <v>13640.0</v>
      </c>
      <c r="I490" s="130" t="s">
        <v>21</v>
      </c>
      <c r="J490" s="126"/>
      <c r="K490" s="126"/>
      <c r="L490" s="126"/>
      <c r="M490" s="126"/>
      <c r="N490" s="126"/>
      <c r="O490" s="126"/>
    </row>
    <row r="491" ht="15.75" customHeight="1">
      <c r="A491" s="130">
        <v>2024.0</v>
      </c>
      <c r="B491" s="130" t="s">
        <v>133</v>
      </c>
      <c r="C491" s="130" t="s">
        <v>78</v>
      </c>
      <c r="D491" s="130" t="s">
        <v>28</v>
      </c>
      <c r="E491" s="130" t="s">
        <v>126</v>
      </c>
      <c r="F491" s="130" t="s">
        <v>127</v>
      </c>
      <c r="G491" s="130" t="s">
        <v>128</v>
      </c>
      <c r="H491" s="132">
        <v>10100.0</v>
      </c>
      <c r="I491" s="130" t="s">
        <v>23</v>
      </c>
      <c r="J491" s="126"/>
      <c r="K491" s="126"/>
      <c r="L491" s="126"/>
      <c r="M491" s="126"/>
      <c r="N491" s="126"/>
      <c r="O491" s="126"/>
    </row>
    <row r="492" ht="15.75" customHeight="1">
      <c r="A492" s="130">
        <v>2024.0</v>
      </c>
      <c r="B492" s="130" t="s">
        <v>133</v>
      </c>
      <c r="C492" s="130" t="s">
        <v>78</v>
      </c>
      <c r="D492" s="130" t="s">
        <v>25</v>
      </c>
      <c r="E492" s="130" t="s">
        <v>138</v>
      </c>
      <c r="F492" s="130" t="s">
        <v>127</v>
      </c>
      <c r="G492" s="130" t="s">
        <v>128</v>
      </c>
      <c r="H492" s="132">
        <v>45000.0</v>
      </c>
      <c r="I492" s="130" t="s">
        <v>20</v>
      </c>
      <c r="J492" s="126"/>
      <c r="K492" s="126"/>
      <c r="L492" s="126"/>
      <c r="M492" s="126"/>
      <c r="N492" s="126"/>
      <c r="O492" s="126"/>
    </row>
    <row r="493" ht="15.75" customHeight="1">
      <c r="A493" s="130">
        <v>2024.0</v>
      </c>
      <c r="B493" s="130" t="s">
        <v>133</v>
      </c>
      <c r="C493" s="130" t="s">
        <v>78</v>
      </c>
      <c r="D493" s="130" t="s">
        <v>26</v>
      </c>
      <c r="E493" s="130" t="s">
        <v>126</v>
      </c>
      <c r="F493" s="130" t="s">
        <v>127</v>
      </c>
      <c r="G493" s="130" t="s">
        <v>128</v>
      </c>
      <c r="H493" s="132">
        <v>8555.0</v>
      </c>
      <c r="I493" s="130" t="s">
        <v>20</v>
      </c>
      <c r="J493" s="126"/>
      <c r="K493" s="126"/>
      <c r="L493" s="126"/>
      <c r="M493" s="126"/>
      <c r="N493" s="126"/>
      <c r="O493" s="126"/>
    </row>
    <row r="494" ht="15.75" customHeight="1">
      <c r="A494" s="130">
        <v>2024.0</v>
      </c>
      <c r="B494" s="130" t="s">
        <v>133</v>
      </c>
      <c r="C494" s="130" t="s">
        <v>78</v>
      </c>
      <c r="D494" s="130" t="s">
        <v>27</v>
      </c>
      <c r="E494" s="130" t="s">
        <v>138</v>
      </c>
      <c r="F494" s="130" t="s">
        <v>127</v>
      </c>
      <c r="G494" s="130" t="s">
        <v>128</v>
      </c>
      <c r="H494" s="132">
        <v>62028.0</v>
      </c>
      <c r="I494" s="130" t="s">
        <v>20</v>
      </c>
      <c r="J494" s="126"/>
      <c r="K494" s="126"/>
      <c r="L494" s="126"/>
      <c r="M494" s="126"/>
      <c r="N494" s="126"/>
      <c r="O494" s="126"/>
    </row>
    <row r="495" ht="15.75" customHeight="1">
      <c r="A495" s="130">
        <v>2024.0</v>
      </c>
      <c r="B495" s="130" t="s">
        <v>133</v>
      </c>
      <c r="C495" s="130" t="s">
        <v>78</v>
      </c>
      <c r="D495" s="130" t="s">
        <v>27</v>
      </c>
      <c r="E495" s="130" t="s">
        <v>138</v>
      </c>
      <c r="F495" s="130" t="s">
        <v>127</v>
      </c>
      <c r="G495" s="130" t="s">
        <v>128</v>
      </c>
      <c r="H495" s="132">
        <v>43000.0</v>
      </c>
      <c r="I495" s="130" t="s">
        <v>23</v>
      </c>
      <c r="J495" s="126"/>
      <c r="K495" s="126"/>
      <c r="L495" s="126"/>
      <c r="M495" s="126"/>
      <c r="N495" s="126"/>
      <c r="O495" s="126"/>
    </row>
    <row r="496" ht="15.75" customHeight="1">
      <c r="A496" s="130">
        <v>2024.0</v>
      </c>
      <c r="B496" s="130" t="s">
        <v>125</v>
      </c>
      <c r="C496" s="130" t="s">
        <v>79</v>
      </c>
      <c r="D496" s="130" t="s">
        <v>28</v>
      </c>
      <c r="E496" s="130" t="s">
        <v>126</v>
      </c>
      <c r="F496" s="130" t="s">
        <v>112</v>
      </c>
      <c r="G496" s="130" t="s">
        <v>128</v>
      </c>
      <c r="H496" s="132">
        <v>0.0</v>
      </c>
      <c r="I496" s="130" t="s">
        <v>23</v>
      </c>
      <c r="J496" s="126"/>
      <c r="K496" s="126"/>
      <c r="L496" s="126"/>
      <c r="M496" s="126"/>
      <c r="N496" s="126"/>
      <c r="O496" s="126"/>
    </row>
    <row r="497" ht="15.75" customHeight="1">
      <c r="A497" s="130">
        <v>2024.0</v>
      </c>
      <c r="B497" s="130" t="s">
        <v>125</v>
      </c>
      <c r="C497" s="130" t="s">
        <v>79</v>
      </c>
      <c r="D497" s="130" t="s">
        <v>25</v>
      </c>
      <c r="E497" s="130" t="s">
        <v>138</v>
      </c>
      <c r="F497" s="130" t="s">
        <v>112</v>
      </c>
      <c r="G497" s="130" t="s">
        <v>128</v>
      </c>
      <c r="H497" s="132">
        <v>0.0</v>
      </c>
      <c r="I497" s="130" t="s">
        <v>20</v>
      </c>
      <c r="J497" s="126"/>
      <c r="K497" s="126"/>
      <c r="L497" s="126"/>
      <c r="M497" s="126"/>
      <c r="N497" s="126"/>
      <c r="O497" s="126"/>
    </row>
    <row r="498" ht="15.75" customHeight="1">
      <c r="A498" s="130">
        <v>2024.0</v>
      </c>
      <c r="B498" s="130" t="s">
        <v>125</v>
      </c>
      <c r="C498" s="130" t="s">
        <v>79</v>
      </c>
      <c r="D498" s="130" t="s">
        <v>25</v>
      </c>
      <c r="E498" s="130" t="s">
        <v>138</v>
      </c>
      <c r="F498" s="130" t="s">
        <v>112</v>
      </c>
      <c r="G498" s="130" t="s">
        <v>128</v>
      </c>
      <c r="H498" s="132">
        <v>4197.0</v>
      </c>
      <c r="I498" s="130" t="s">
        <v>21</v>
      </c>
      <c r="J498" s="126"/>
      <c r="K498" s="126"/>
      <c r="L498" s="126"/>
      <c r="M498" s="126"/>
      <c r="N498" s="126"/>
      <c r="O498" s="126"/>
    </row>
    <row r="499" ht="15.75" customHeight="1">
      <c r="A499" s="130">
        <v>2024.0</v>
      </c>
      <c r="B499" s="130" t="s">
        <v>125</v>
      </c>
      <c r="C499" s="130" t="s">
        <v>79</v>
      </c>
      <c r="D499" s="130" t="s">
        <v>26</v>
      </c>
      <c r="E499" s="130" t="s">
        <v>126</v>
      </c>
      <c r="F499" s="130" t="s">
        <v>112</v>
      </c>
      <c r="G499" s="130" t="s">
        <v>128</v>
      </c>
      <c r="H499" s="132">
        <v>570.0</v>
      </c>
      <c r="I499" s="130" t="s">
        <v>20</v>
      </c>
      <c r="J499" s="126"/>
      <c r="K499" s="126"/>
      <c r="L499" s="126"/>
      <c r="M499" s="126"/>
      <c r="N499" s="126"/>
      <c r="O499" s="126"/>
    </row>
    <row r="500" ht="15.75" customHeight="1">
      <c r="A500" s="130">
        <v>2024.0</v>
      </c>
      <c r="B500" s="130" t="s">
        <v>125</v>
      </c>
      <c r="C500" s="130" t="s">
        <v>79</v>
      </c>
      <c r="D500" s="130" t="s">
        <v>27</v>
      </c>
      <c r="E500" s="130" t="s">
        <v>138</v>
      </c>
      <c r="F500" s="130" t="s">
        <v>112</v>
      </c>
      <c r="G500" s="130" t="s">
        <v>128</v>
      </c>
      <c r="H500" s="132">
        <v>0.0</v>
      </c>
      <c r="I500" s="130" t="s">
        <v>20</v>
      </c>
      <c r="J500" s="126"/>
      <c r="K500" s="126"/>
      <c r="L500" s="126"/>
      <c r="M500" s="126"/>
      <c r="N500" s="126"/>
      <c r="O500" s="126"/>
    </row>
    <row r="501" ht="15.75" customHeight="1">
      <c r="A501" s="130">
        <v>2024.0</v>
      </c>
      <c r="B501" s="130" t="s">
        <v>125</v>
      </c>
      <c r="C501" s="130" t="s">
        <v>79</v>
      </c>
      <c r="D501" s="130" t="s">
        <v>27</v>
      </c>
      <c r="E501" s="130" t="s">
        <v>138</v>
      </c>
      <c r="F501" s="130" t="s">
        <v>112</v>
      </c>
      <c r="G501" s="130" t="s">
        <v>128</v>
      </c>
      <c r="H501" s="132">
        <v>9229.0</v>
      </c>
      <c r="I501" s="130" t="s">
        <v>21</v>
      </c>
      <c r="J501" s="126"/>
      <c r="K501" s="126"/>
      <c r="L501" s="126"/>
      <c r="M501" s="126"/>
      <c r="N501" s="126"/>
      <c r="O501" s="126"/>
    </row>
    <row r="502" ht="15.75" customHeight="1">
      <c r="A502" s="130">
        <v>2024.0</v>
      </c>
      <c r="B502" s="130" t="s">
        <v>125</v>
      </c>
      <c r="C502" s="130" t="s">
        <v>79</v>
      </c>
      <c r="D502" s="130" t="s">
        <v>25</v>
      </c>
      <c r="E502" s="130" t="s">
        <v>138</v>
      </c>
      <c r="F502" s="130" t="s">
        <v>135</v>
      </c>
      <c r="G502" s="130" t="s">
        <v>136</v>
      </c>
      <c r="H502" s="132">
        <v>52052.0</v>
      </c>
      <c r="I502" s="130" t="s">
        <v>21</v>
      </c>
      <c r="J502" s="126"/>
      <c r="K502" s="126"/>
      <c r="L502" s="126"/>
      <c r="M502" s="126"/>
      <c r="N502" s="126"/>
      <c r="O502" s="126"/>
    </row>
    <row r="503" ht="15.75" customHeight="1">
      <c r="A503" s="130">
        <v>2024.0</v>
      </c>
      <c r="B503" s="130" t="s">
        <v>125</v>
      </c>
      <c r="C503" s="130" t="s">
        <v>79</v>
      </c>
      <c r="D503" s="130" t="s">
        <v>26</v>
      </c>
      <c r="E503" s="130" t="s">
        <v>126</v>
      </c>
      <c r="F503" s="130" t="s">
        <v>135</v>
      </c>
      <c r="G503" s="130" t="s">
        <v>136</v>
      </c>
      <c r="H503" s="132">
        <v>323.0</v>
      </c>
      <c r="I503" s="130" t="s">
        <v>20</v>
      </c>
      <c r="J503" s="126"/>
      <c r="K503" s="126"/>
      <c r="L503" s="126"/>
      <c r="M503" s="126"/>
      <c r="N503" s="126"/>
      <c r="O503" s="126"/>
    </row>
    <row r="504" ht="15.75" customHeight="1">
      <c r="A504" s="130">
        <v>2024.0</v>
      </c>
      <c r="B504" s="130" t="s">
        <v>125</v>
      </c>
      <c r="C504" s="130" t="s">
        <v>79</v>
      </c>
      <c r="D504" s="130" t="s">
        <v>27</v>
      </c>
      <c r="E504" s="130" t="s">
        <v>138</v>
      </c>
      <c r="F504" s="130" t="s">
        <v>135</v>
      </c>
      <c r="G504" s="130" t="s">
        <v>136</v>
      </c>
      <c r="H504" s="132">
        <v>129831.0</v>
      </c>
      <c r="I504" s="130" t="s">
        <v>21</v>
      </c>
      <c r="J504" s="126"/>
      <c r="K504" s="126"/>
      <c r="L504" s="126"/>
      <c r="M504" s="126"/>
      <c r="N504" s="126"/>
      <c r="O504" s="126"/>
    </row>
    <row r="505" ht="15.75" customHeight="1">
      <c r="A505" s="130">
        <v>2024.0</v>
      </c>
      <c r="B505" s="130" t="s">
        <v>125</v>
      </c>
      <c r="C505" s="130" t="s">
        <v>79</v>
      </c>
      <c r="D505" s="130" t="s">
        <v>25</v>
      </c>
      <c r="E505" s="130" t="s">
        <v>138</v>
      </c>
      <c r="F505" s="130" t="s">
        <v>134</v>
      </c>
      <c r="G505" s="130" t="s">
        <v>134</v>
      </c>
      <c r="H505" s="132">
        <v>23471.0</v>
      </c>
      <c r="I505" s="130" t="s">
        <v>21</v>
      </c>
      <c r="J505" s="126"/>
      <c r="K505" s="126"/>
      <c r="L505" s="126"/>
      <c r="M505" s="126"/>
      <c r="N505" s="126"/>
      <c r="O505" s="126"/>
    </row>
    <row r="506" ht="15.75" customHeight="1">
      <c r="A506" s="130">
        <v>2024.0</v>
      </c>
      <c r="B506" s="130" t="s">
        <v>125</v>
      </c>
      <c r="C506" s="130" t="s">
        <v>79</v>
      </c>
      <c r="D506" s="130" t="s">
        <v>26</v>
      </c>
      <c r="E506" s="130" t="s">
        <v>126</v>
      </c>
      <c r="F506" s="130" t="s">
        <v>134</v>
      </c>
      <c r="G506" s="130" t="s">
        <v>134</v>
      </c>
      <c r="H506" s="132">
        <v>967.0</v>
      </c>
      <c r="I506" s="130" t="s">
        <v>20</v>
      </c>
      <c r="J506" s="126"/>
      <c r="K506" s="126"/>
      <c r="L506" s="126"/>
      <c r="M506" s="126"/>
      <c r="N506" s="126"/>
      <c r="O506" s="126"/>
    </row>
    <row r="507" ht="15.75" customHeight="1">
      <c r="A507" s="130">
        <v>2024.0</v>
      </c>
      <c r="B507" s="130" t="s">
        <v>125</v>
      </c>
      <c r="C507" s="130" t="s">
        <v>79</v>
      </c>
      <c r="D507" s="130" t="s">
        <v>27</v>
      </c>
      <c r="E507" s="130" t="s">
        <v>138</v>
      </c>
      <c r="F507" s="130" t="s">
        <v>134</v>
      </c>
      <c r="G507" s="130" t="s">
        <v>134</v>
      </c>
      <c r="H507" s="132">
        <v>53841.0</v>
      </c>
      <c r="I507" s="130" t="s">
        <v>22</v>
      </c>
      <c r="J507" s="126"/>
      <c r="K507" s="126"/>
      <c r="L507" s="126"/>
      <c r="M507" s="126"/>
      <c r="N507" s="126"/>
      <c r="O507" s="126"/>
    </row>
    <row r="508" ht="15.75" customHeight="1">
      <c r="A508" s="130">
        <v>2024.0</v>
      </c>
      <c r="B508" s="130" t="s">
        <v>125</v>
      </c>
      <c r="C508" s="130" t="s">
        <v>79</v>
      </c>
      <c r="D508" s="130" t="s">
        <v>27</v>
      </c>
      <c r="E508" s="130" t="s">
        <v>138</v>
      </c>
      <c r="F508" s="130" t="s">
        <v>134</v>
      </c>
      <c r="G508" s="130" t="s">
        <v>134</v>
      </c>
      <c r="H508" s="132">
        <v>0.0</v>
      </c>
      <c r="I508" s="130" t="s">
        <v>21</v>
      </c>
      <c r="J508" s="126"/>
      <c r="K508" s="126"/>
      <c r="L508" s="126"/>
      <c r="M508" s="126"/>
      <c r="N508" s="126"/>
      <c r="O508" s="126"/>
    </row>
    <row r="509" ht="15.75" customHeight="1">
      <c r="A509" s="130">
        <v>2024.0</v>
      </c>
      <c r="B509" s="130" t="s">
        <v>125</v>
      </c>
      <c r="C509" s="130" t="s">
        <v>79</v>
      </c>
      <c r="D509" s="130" t="s">
        <v>25</v>
      </c>
      <c r="E509" s="130" t="s">
        <v>138</v>
      </c>
      <c r="F509" s="130" t="s">
        <v>137</v>
      </c>
      <c r="G509" s="130" t="s">
        <v>136</v>
      </c>
      <c r="H509" s="132">
        <v>1331.0</v>
      </c>
      <c r="I509" s="130" t="s">
        <v>20</v>
      </c>
      <c r="J509" s="126"/>
      <c r="K509" s="126"/>
      <c r="L509" s="126"/>
      <c r="M509" s="126"/>
      <c r="N509" s="126"/>
      <c r="O509" s="126"/>
    </row>
    <row r="510" ht="15.75" customHeight="1">
      <c r="A510" s="130">
        <v>2024.0</v>
      </c>
      <c r="B510" s="130" t="s">
        <v>125</v>
      </c>
      <c r="C510" s="130" t="s">
        <v>79</v>
      </c>
      <c r="D510" s="130" t="s">
        <v>25</v>
      </c>
      <c r="E510" s="130" t="s">
        <v>138</v>
      </c>
      <c r="F510" s="130" t="s">
        <v>137</v>
      </c>
      <c r="G510" s="130" t="s">
        <v>136</v>
      </c>
      <c r="H510" s="132">
        <v>12328.0</v>
      </c>
      <c r="I510" s="130" t="s">
        <v>21</v>
      </c>
      <c r="J510" s="126"/>
      <c r="K510" s="126"/>
      <c r="L510" s="126"/>
      <c r="M510" s="126"/>
      <c r="N510" s="126"/>
      <c r="O510" s="126"/>
    </row>
    <row r="511" ht="15.75" customHeight="1">
      <c r="A511" s="130">
        <v>2024.0</v>
      </c>
      <c r="B511" s="130" t="s">
        <v>125</v>
      </c>
      <c r="C511" s="130" t="s">
        <v>79</v>
      </c>
      <c r="D511" s="130" t="s">
        <v>26</v>
      </c>
      <c r="E511" s="130" t="s">
        <v>126</v>
      </c>
      <c r="F511" s="130" t="s">
        <v>137</v>
      </c>
      <c r="G511" s="130" t="s">
        <v>136</v>
      </c>
      <c r="H511" s="132">
        <v>459.0</v>
      </c>
      <c r="I511" s="130" t="s">
        <v>20</v>
      </c>
      <c r="J511" s="126"/>
      <c r="K511" s="126"/>
      <c r="L511" s="126"/>
      <c r="M511" s="126"/>
      <c r="N511" s="126"/>
      <c r="O511" s="126"/>
    </row>
    <row r="512" ht="15.75" customHeight="1">
      <c r="A512" s="130">
        <v>2024.0</v>
      </c>
      <c r="B512" s="130" t="s">
        <v>125</v>
      </c>
      <c r="C512" s="130" t="s">
        <v>79</v>
      </c>
      <c r="D512" s="130" t="s">
        <v>27</v>
      </c>
      <c r="E512" s="130" t="s">
        <v>138</v>
      </c>
      <c r="F512" s="130" t="s">
        <v>137</v>
      </c>
      <c r="G512" s="130" t="s">
        <v>136</v>
      </c>
      <c r="H512" s="132">
        <v>7249.0</v>
      </c>
      <c r="I512" s="130" t="s">
        <v>22</v>
      </c>
      <c r="J512" s="126"/>
      <c r="K512" s="126"/>
      <c r="L512" s="126"/>
      <c r="M512" s="126"/>
      <c r="N512" s="126"/>
      <c r="O512" s="126"/>
    </row>
    <row r="513" ht="15.75" customHeight="1">
      <c r="A513" s="130">
        <v>2024.0</v>
      </c>
      <c r="B513" s="130" t="s">
        <v>125</v>
      </c>
      <c r="C513" s="130" t="s">
        <v>79</v>
      </c>
      <c r="D513" s="130" t="s">
        <v>27</v>
      </c>
      <c r="E513" s="130" t="s">
        <v>138</v>
      </c>
      <c r="F513" s="130" t="s">
        <v>137</v>
      </c>
      <c r="G513" s="130" t="s">
        <v>136</v>
      </c>
      <c r="H513" s="132"/>
      <c r="I513" s="130" t="s">
        <v>20</v>
      </c>
      <c r="J513" s="126"/>
      <c r="K513" s="126"/>
      <c r="L513" s="126"/>
      <c r="M513" s="126"/>
      <c r="N513" s="126"/>
      <c r="O513" s="126"/>
    </row>
    <row r="514" ht="15.75" customHeight="1">
      <c r="A514" s="130">
        <v>2024.0</v>
      </c>
      <c r="B514" s="130" t="s">
        <v>125</v>
      </c>
      <c r="C514" s="130" t="s">
        <v>79</v>
      </c>
      <c r="D514" s="130" t="s">
        <v>27</v>
      </c>
      <c r="E514" s="130" t="s">
        <v>138</v>
      </c>
      <c r="F514" s="130" t="s">
        <v>137</v>
      </c>
      <c r="G514" s="130" t="s">
        <v>136</v>
      </c>
      <c r="H514" s="132">
        <v>11061.0</v>
      </c>
      <c r="I514" s="130" t="s">
        <v>21</v>
      </c>
      <c r="J514" s="126"/>
      <c r="K514" s="126"/>
      <c r="L514" s="126"/>
      <c r="M514" s="126"/>
      <c r="N514" s="126"/>
      <c r="O514" s="126"/>
    </row>
    <row r="515" ht="15.75" customHeight="1">
      <c r="A515" s="130">
        <v>2024.0</v>
      </c>
      <c r="B515" s="130" t="s">
        <v>125</v>
      </c>
      <c r="C515" s="130" t="s">
        <v>79</v>
      </c>
      <c r="D515" s="130" t="s">
        <v>28</v>
      </c>
      <c r="E515" s="130" t="s">
        <v>126</v>
      </c>
      <c r="F515" s="130" t="s">
        <v>127</v>
      </c>
      <c r="G515" s="130" t="s">
        <v>128</v>
      </c>
      <c r="H515" s="132">
        <v>14000.0</v>
      </c>
      <c r="I515" s="130" t="s">
        <v>23</v>
      </c>
      <c r="J515" s="126"/>
      <c r="K515" s="126"/>
      <c r="L515" s="126"/>
      <c r="M515" s="126"/>
      <c r="N515" s="126"/>
      <c r="O515" s="126"/>
    </row>
    <row r="516" ht="15.75" customHeight="1">
      <c r="A516" s="130">
        <v>2024.0</v>
      </c>
      <c r="B516" s="130" t="s">
        <v>125</v>
      </c>
      <c r="C516" s="130" t="s">
        <v>79</v>
      </c>
      <c r="D516" s="130" t="s">
        <v>25</v>
      </c>
      <c r="E516" s="130" t="s">
        <v>138</v>
      </c>
      <c r="F516" s="130" t="s">
        <v>127</v>
      </c>
      <c r="G516" s="130" t="s">
        <v>128</v>
      </c>
      <c r="H516" s="132">
        <v>51000.0</v>
      </c>
      <c r="I516" s="130" t="s">
        <v>20</v>
      </c>
      <c r="J516" s="126"/>
      <c r="K516" s="126"/>
      <c r="L516" s="126"/>
      <c r="M516" s="126"/>
      <c r="N516" s="126"/>
      <c r="O516" s="126"/>
    </row>
    <row r="517" ht="15.75" customHeight="1">
      <c r="A517" s="130">
        <v>2024.0</v>
      </c>
      <c r="B517" s="130" t="s">
        <v>125</v>
      </c>
      <c r="C517" s="130" t="s">
        <v>79</v>
      </c>
      <c r="D517" s="130" t="s">
        <v>26</v>
      </c>
      <c r="E517" s="130" t="s">
        <v>126</v>
      </c>
      <c r="F517" s="130" t="s">
        <v>127</v>
      </c>
      <c r="G517" s="130" t="s">
        <v>128</v>
      </c>
      <c r="H517" s="132">
        <v>6596.0</v>
      </c>
      <c r="I517" s="130" t="s">
        <v>20</v>
      </c>
      <c r="J517" s="126"/>
      <c r="K517" s="126"/>
      <c r="L517" s="126"/>
      <c r="M517" s="126"/>
      <c r="N517" s="126"/>
      <c r="O517" s="126"/>
    </row>
    <row r="518" ht="15.75" customHeight="1">
      <c r="A518" s="130">
        <v>2024.0</v>
      </c>
      <c r="B518" s="130" t="s">
        <v>125</v>
      </c>
      <c r="C518" s="130" t="s">
        <v>79</v>
      </c>
      <c r="D518" s="130" t="s">
        <v>27</v>
      </c>
      <c r="E518" s="130" t="s">
        <v>138</v>
      </c>
      <c r="F518" s="130" t="s">
        <v>127</v>
      </c>
      <c r="G518" s="130" t="s">
        <v>128</v>
      </c>
      <c r="H518" s="132">
        <v>56385.0</v>
      </c>
      <c r="I518" s="130" t="s">
        <v>20</v>
      </c>
      <c r="J518" s="126"/>
      <c r="K518" s="126"/>
      <c r="L518" s="126"/>
      <c r="M518" s="126"/>
      <c r="N518" s="126"/>
      <c r="O518" s="126"/>
    </row>
    <row r="519" ht="15.75" customHeight="1">
      <c r="A519" s="130">
        <v>2024.0</v>
      </c>
      <c r="B519" s="130" t="s">
        <v>125</v>
      </c>
      <c r="C519" s="130" t="s">
        <v>79</v>
      </c>
      <c r="D519" s="130" t="s">
        <v>27</v>
      </c>
      <c r="E519" s="130" t="s">
        <v>138</v>
      </c>
      <c r="F519" s="130" t="s">
        <v>127</v>
      </c>
      <c r="G519" s="130" t="s">
        <v>128</v>
      </c>
      <c r="H519" s="132">
        <v>28000.0</v>
      </c>
      <c r="I519" s="130" t="s">
        <v>23</v>
      </c>
      <c r="J519" s="126"/>
      <c r="K519" s="126"/>
      <c r="L519" s="126"/>
      <c r="M519" s="126"/>
      <c r="N519" s="126"/>
      <c r="O519" s="126"/>
    </row>
    <row r="520" ht="15.75" customHeight="1">
      <c r="A520" s="130">
        <v>2024.0</v>
      </c>
      <c r="B520" s="130" t="s">
        <v>129</v>
      </c>
      <c r="C520" s="130" t="s">
        <v>80</v>
      </c>
      <c r="D520" s="130" t="s">
        <v>28</v>
      </c>
      <c r="E520" s="130" t="s">
        <v>126</v>
      </c>
      <c r="F520" s="130" t="s">
        <v>112</v>
      </c>
      <c r="G520" s="130" t="s">
        <v>128</v>
      </c>
      <c r="H520" s="132">
        <v>1540.0</v>
      </c>
      <c r="I520" s="130" t="s">
        <v>23</v>
      </c>
      <c r="J520" s="126"/>
      <c r="K520" s="126"/>
      <c r="L520" s="126"/>
      <c r="M520" s="126"/>
      <c r="N520" s="126"/>
      <c r="O520" s="126"/>
    </row>
    <row r="521" ht="15.75" customHeight="1">
      <c r="A521" s="130">
        <v>2024.0</v>
      </c>
      <c r="B521" s="130" t="s">
        <v>129</v>
      </c>
      <c r="C521" s="130" t="s">
        <v>80</v>
      </c>
      <c r="D521" s="130" t="s">
        <v>25</v>
      </c>
      <c r="E521" s="130" t="s">
        <v>138</v>
      </c>
      <c r="F521" s="130" t="s">
        <v>112</v>
      </c>
      <c r="G521" s="130" t="s">
        <v>128</v>
      </c>
      <c r="H521" s="132">
        <v>1848.0</v>
      </c>
      <c r="I521" s="130" t="s">
        <v>20</v>
      </c>
      <c r="J521" s="126"/>
      <c r="K521" s="126"/>
      <c r="L521" s="126"/>
      <c r="M521" s="126"/>
      <c r="N521" s="126"/>
      <c r="O521" s="126"/>
    </row>
    <row r="522" ht="15.75" customHeight="1">
      <c r="A522" s="130">
        <v>2024.0</v>
      </c>
      <c r="B522" s="130" t="s">
        <v>129</v>
      </c>
      <c r="C522" s="130" t="s">
        <v>80</v>
      </c>
      <c r="D522" s="130" t="s">
        <v>25</v>
      </c>
      <c r="E522" s="130" t="s">
        <v>138</v>
      </c>
      <c r="F522" s="130" t="s">
        <v>112</v>
      </c>
      <c r="G522" s="130" t="s">
        <v>128</v>
      </c>
      <c r="H522" s="132">
        <v>164.0</v>
      </c>
      <c r="I522" s="130" t="s">
        <v>21</v>
      </c>
      <c r="J522" s="126"/>
      <c r="K522" s="126"/>
      <c r="L522" s="126"/>
      <c r="M522" s="126"/>
      <c r="N522" s="126"/>
      <c r="O522" s="126"/>
    </row>
    <row r="523" ht="15.75" customHeight="1">
      <c r="A523" s="130">
        <v>2024.0</v>
      </c>
      <c r="B523" s="130" t="s">
        <v>129</v>
      </c>
      <c r="C523" s="130" t="s">
        <v>80</v>
      </c>
      <c r="D523" s="130" t="s">
        <v>26</v>
      </c>
      <c r="E523" s="130" t="s">
        <v>126</v>
      </c>
      <c r="F523" s="130" t="s">
        <v>112</v>
      </c>
      <c r="G523" s="130" t="s">
        <v>128</v>
      </c>
      <c r="H523" s="132">
        <v>720.0</v>
      </c>
      <c r="I523" s="130" t="s">
        <v>20</v>
      </c>
      <c r="J523" s="126"/>
      <c r="K523" s="126"/>
      <c r="L523" s="126"/>
      <c r="M523" s="126"/>
      <c r="N523" s="126"/>
      <c r="O523" s="126"/>
    </row>
    <row r="524" ht="15.75" customHeight="1">
      <c r="A524" s="130">
        <v>2024.0</v>
      </c>
      <c r="B524" s="130" t="s">
        <v>129</v>
      </c>
      <c r="C524" s="130" t="s">
        <v>80</v>
      </c>
      <c r="D524" s="130" t="s">
        <v>27</v>
      </c>
      <c r="E524" s="130" t="s">
        <v>138</v>
      </c>
      <c r="F524" s="130" t="s">
        <v>112</v>
      </c>
      <c r="G524" s="130" t="s">
        <v>128</v>
      </c>
      <c r="H524" s="132">
        <v>6319.0</v>
      </c>
      <c r="I524" s="130" t="s">
        <v>20</v>
      </c>
      <c r="J524" s="126"/>
      <c r="K524" s="126"/>
      <c r="L524" s="126"/>
      <c r="M524" s="126"/>
      <c r="N524" s="126"/>
      <c r="O524" s="126"/>
    </row>
    <row r="525" ht="15.75" customHeight="1">
      <c r="A525" s="130">
        <v>2024.0</v>
      </c>
      <c r="B525" s="130" t="s">
        <v>129</v>
      </c>
      <c r="C525" s="130" t="s">
        <v>80</v>
      </c>
      <c r="D525" s="130" t="s">
        <v>27</v>
      </c>
      <c r="E525" s="130" t="s">
        <v>138</v>
      </c>
      <c r="F525" s="130" t="s">
        <v>112</v>
      </c>
      <c r="G525" s="130" t="s">
        <v>128</v>
      </c>
      <c r="H525" s="132">
        <v>108.0</v>
      </c>
      <c r="I525" s="130" t="s">
        <v>21</v>
      </c>
      <c r="J525" s="126"/>
      <c r="K525" s="126"/>
      <c r="L525" s="126"/>
      <c r="M525" s="126"/>
      <c r="N525" s="126"/>
      <c r="O525" s="126"/>
    </row>
    <row r="526" ht="15.75" customHeight="1">
      <c r="A526" s="130">
        <v>2024.0</v>
      </c>
      <c r="B526" s="130" t="s">
        <v>129</v>
      </c>
      <c r="C526" s="130" t="s">
        <v>80</v>
      </c>
      <c r="D526" s="130" t="s">
        <v>25</v>
      </c>
      <c r="E526" s="130" t="s">
        <v>138</v>
      </c>
      <c r="F526" s="130" t="s">
        <v>135</v>
      </c>
      <c r="G526" s="130" t="s">
        <v>136</v>
      </c>
      <c r="H526" s="132">
        <v>54241.0</v>
      </c>
      <c r="I526" s="130" t="s">
        <v>21</v>
      </c>
      <c r="J526" s="126"/>
      <c r="K526" s="126"/>
      <c r="L526" s="126"/>
      <c r="M526" s="126"/>
      <c r="N526" s="126"/>
      <c r="O526" s="126"/>
    </row>
    <row r="527" ht="15.75" customHeight="1">
      <c r="A527" s="130">
        <v>2024.0</v>
      </c>
      <c r="B527" s="130" t="s">
        <v>129</v>
      </c>
      <c r="C527" s="130" t="s">
        <v>80</v>
      </c>
      <c r="D527" s="130" t="s">
        <v>26</v>
      </c>
      <c r="E527" s="130" t="s">
        <v>126</v>
      </c>
      <c r="F527" s="130" t="s">
        <v>135</v>
      </c>
      <c r="G527" s="130" t="s">
        <v>136</v>
      </c>
      <c r="H527" s="132">
        <v>562.0</v>
      </c>
      <c r="I527" s="130" t="s">
        <v>20</v>
      </c>
      <c r="J527" s="126"/>
      <c r="K527" s="126"/>
      <c r="L527" s="126"/>
      <c r="M527" s="126"/>
      <c r="N527" s="126"/>
      <c r="O527" s="126"/>
    </row>
    <row r="528" ht="15.75" customHeight="1">
      <c r="A528" s="130">
        <v>2024.0</v>
      </c>
      <c r="B528" s="130" t="s">
        <v>129</v>
      </c>
      <c r="C528" s="130" t="s">
        <v>80</v>
      </c>
      <c r="D528" s="130" t="s">
        <v>27</v>
      </c>
      <c r="E528" s="130" t="s">
        <v>138</v>
      </c>
      <c r="F528" s="130" t="s">
        <v>135</v>
      </c>
      <c r="G528" s="130" t="s">
        <v>136</v>
      </c>
      <c r="H528" s="132">
        <v>142661.0</v>
      </c>
      <c r="I528" s="130" t="s">
        <v>21</v>
      </c>
      <c r="J528" s="126"/>
      <c r="K528" s="126"/>
      <c r="L528" s="126"/>
      <c r="M528" s="126"/>
      <c r="N528" s="126"/>
      <c r="O528" s="126"/>
    </row>
    <row r="529" ht="15.75" customHeight="1">
      <c r="A529" s="130">
        <v>2024.0</v>
      </c>
      <c r="B529" s="130" t="s">
        <v>129</v>
      </c>
      <c r="C529" s="130" t="s">
        <v>80</v>
      </c>
      <c r="D529" s="130" t="s">
        <v>25</v>
      </c>
      <c r="E529" s="130" t="s">
        <v>138</v>
      </c>
      <c r="F529" s="130" t="s">
        <v>134</v>
      </c>
      <c r="G529" s="130" t="s">
        <v>134</v>
      </c>
      <c r="H529" s="132">
        <v>25622.0</v>
      </c>
      <c r="I529" s="130" t="s">
        <v>21</v>
      </c>
      <c r="J529" s="126"/>
      <c r="K529" s="126"/>
      <c r="L529" s="126"/>
      <c r="M529" s="126"/>
      <c r="N529" s="126"/>
      <c r="O529" s="126"/>
    </row>
    <row r="530" ht="15.75" customHeight="1">
      <c r="A530" s="130">
        <v>2024.0</v>
      </c>
      <c r="B530" s="130" t="s">
        <v>129</v>
      </c>
      <c r="C530" s="130" t="s">
        <v>80</v>
      </c>
      <c r="D530" s="130" t="s">
        <v>26</v>
      </c>
      <c r="E530" s="130" t="s">
        <v>126</v>
      </c>
      <c r="F530" s="130" t="s">
        <v>134</v>
      </c>
      <c r="G530" s="130" t="s">
        <v>134</v>
      </c>
      <c r="H530" s="132">
        <v>540.0</v>
      </c>
      <c r="I530" s="130" t="s">
        <v>20</v>
      </c>
      <c r="J530" s="126"/>
      <c r="K530" s="126"/>
      <c r="L530" s="126"/>
      <c r="M530" s="126"/>
      <c r="N530" s="126"/>
      <c r="O530" s="126"/>
    </row>
    <row r="531" ht="15.75" customHeight="1">
      <c r="A531" s="130">
        <v>2024.0</v>
      </c>
      <c r="B531" s="130" t="s">
        <v>129</v>
      </c>
      <c r="C531" s="130" t="s">
        <v>80</v>
      </c>
      <c r="D531" s="130" t="s">
        <v>27</v>
      </c>
      <c r="E531" s="130" t="s">
        <v>138</v>
      </c>
      <c r="F531" s="130" t="s">
        <v>134</v>
      </c>
      <c r="G531" s="130" t="s">
        <v>134</v>
      </c>
      <c r="H531" s="132">
        <v>57311.0</v>
      </c>
      <c r="I531" s="130" t="s">
        <v>22</v>
      </c>
      <c r="J531" s="126"/>
      <c r="K531" s="126"/>
      <c r="L531" s="126"/>
      <c r="M531" s="126"/>
      <c r="N531" s="126"/>
      <c r="O531" s="126"/>
    </row>
    <row r="532" ht="15.75" customHeight="1">
      <c r="A532" s="130">
        <v>2024.0</v>
      </c>
      <c r="B532" s="130" t="s">
        <v>129</v>
      </c>
      <c r="C532" s="130" t="s">
        <v>80</v>
      </c>
      <c r="D532" s="130" t="s">
        <v>27</v>
      </c>
      <c r="E532" s="130" t="s">
        <v>138</v>
      </c>
      <c r="F532" s="130" t="s">
        <v>134</v>
      </c>
      <c r="G532" s="130" t="s">
        <v>134</v>
      </c>
      <c r="H532" s="132">
        <v>0.0</v>
      </c>
      <c r="I532" s="130" t="s">
        <v>21</v>
      </c>
      <c r="J532" s="126"/>
      <c r="K532" s="126"/>
      <c r="L532" s="126"/>
      <c r="M532" s="126"/>
      <c r="N532" s="126"/>
      <c r="O532" s="126"/>
    </row>
    <row r="533" ht="15.75" customHeight="1">
      <c r="A533" s="130">
        <v>2024.0</v>
      </c>
      <c r="B533" s="130" t="s">
        <v>129</v>
      </c>
      <c r="C533" s="130" t="s">
        <v>80</v>
      </c>
      <c r="D533" s="130" t="s">
        <v>25</v>
      </c>
      <c r="E533" s="130" t="s">
        <v>138</v>
      </c>
      <c r="F533" s="130" t="s">
        <v>137</v>
      </c>
      <c r="G533" s="130" t="s">
        <v>136</v>
      </c>
      <c r="H533" s="132">
        <v>1283.0</v>
      </c>
      <c r="I533" s="130" t="s">
        <v>20</v>
      </c>
      <c r="J533" s="126"/>
      <c r="K533" s="126"/>
      <c r="L533" s="126"/>
      <c r="M533" s="126"/>
      <c r="N533" s="126"/>
      <c r="O533" s="126"/>
    </row>
    <row r="534" ht="15.75" customHeight="1">
      <c r="A534" s="130">
        <v>2024.0</v>
      </c>
      <c r="B534" s="130" t="s">
        <v>129</v>
      </c>
      <c r="C534" s="130" t="s">
        <v>80</v>
      </c>
      <c r="D534" s="130" t="s">
        <v>25</v>
      </c>
      <c r="E534" s="130" t="s">
        <v>138</v>
      </c>
      <c r="F534" s="130" t="s">
        <v>137</v>
      </c>
      <c r="G534" s="130" t="s">
        <v>136</v>
      </c>
      <c r="H534" s="132">
        <v>10368.0</v>
      </c>
      <c r="I534" s="130" t="s">
        <v>21</v>
      </c>
      <c r="J534" s="126"/>
      <c r="K534" s="126"/>
      <c r="L534" s="126"/>
      <c r="M534" s="126"/>
      <c r="N534" s="126"/>
      <c r="O534" s="126"/>
    </row>
    <row r="535" ht="15.75" customHeight="1">
      <c r="A535" s="130">
        <v>2024.0</v>
      </c>
      <c r="B535" s="130" t="s">
        <v>129</v>
      </c>
      <c r="C535" s="130" t="s">
        <v>80</v>
      </c>
      <c r="D535" s="130" t="s">
        <v>26</v>
      </c>
      <c r="E535" s="130" t="s">
        <v>126</v>
      </c>
      <c r="F535" s="130" t="s">
        <v>137</v>
      </c>
      <c r="G535" s="130" t="s">
        <v>136</v>
      </c>
      <c r="H535" s="132">
        <v>462.0</v>
      </c>
      <c r="I535" s="130" t="s">
        <v>20</v>
      </c>
      <c r="J535" s="126"/>
      <c r="K535" s="126"/>
      <c r="L535" s="126"/>
      <c r="M535" s="126"/>
      <c r="N535" s="126"/>
      <c r="O535" s="126"/>
    </row>
    <row r="536" ht="15.75" customHeight="1">
      <c r="A536" s="130">
        <v>2024.0</v>
      </c>
      <c r="B536" s="130" t="s">
        <v>129</v>
      </c>
      <c r="C536" s="130" t="s">
        <v>80</v>
      </c>
      <c r="D536" s="130" t="s">
        <v>27</v>
      </c>
      <c r="E536" s="130" t="s">
        <v>138</v>
      </c>
      <c r="F536" s="130" t="s">
        <v>137</v>
      </c>
      <c r="G536" s="130" t="s">
        <v>136</v>
      </c>
      <c r="H536" s="132">
        <v>7785.0</v>
      </c>
      <c r="I536" s="130" t="s">
        <v>22</v>
      </c>
      <c r="J536" s="126"/>
      <c r="K536" s="126"/>
      <c r="L536" s="126"/>
      <c r="M536" s="126"/>
      <c r="N536" s="126"/>
      <c r="O536" s="126"/>
    </row>
    <row r="537" ht="15.75" customHeight="1">
      <c r="A537" s="130">
        <v>2024.0</v>
      </c>
      <c r="B537" s="130" t="s">
        <v>129</v>
      </c>
      <c r="C537" s="130" t="s">
        <v>80</v>
      </c>
      <c r="D537" s="130" t="s">
        <v>27</v>
      </c>
      <c r="E537" s="130" t="s">
        <v>138</v>
      </c>
      <c r="F537" s="130" t="s">
        <v>137</v>
      </c>
      <c r="G537" s="130" t="s">
        <v>136</v>
      </c>
      <c r="H537" s="132"/>
      <c r="I537" s="130" t="s">
        <v>20</v>
      </c>
      <c r="J537" s="126"/>
      <c r="K537" s="126"/>
      <c r="L537" s="126"/>
      <c r="M537" s="126"/>
      <c r="N537" s="126"/>
      <c r="O537" s="126"/>
    </row>
    <row r="538" ht="15.75" customHeight="1">
      <c r="A538" s="130">
        <v>2024.0</v>
      </c>
      <c r="B538" s="130" t="s">
        <v>129</v>
      </c>
      <c r="C538" s="130" t="s">
        <v>80</v>
      </c>
      <c r="D538" s="130" t="s">
        <v>27</v>
      </c>
      <c r="E538" s="130" t="s">
        <v>138</v>
      </c>
      <c r="F538" s="130" t="s">
        <v>137</v>
      </c>
      <c r="G538" s="130" t="s">
        <v>136</v>
      </c>
      <c r="H538" s="132">
        <v>12869.0</v>
      </c>
      <c r="I538" s="130" t="s">
        <v>21</v>
      </c>
      <c r="J538" s="126"/>
      <c r="K538" s="126"/>
      <c r="L538" s="126"/>
      <c r="M538" s="126"/>
      <c r="N538" s="126"/>
      <c r="O538" s="126"/>
    </row>
    <row r="539" ht="15.75" customHeight="1">
      <c r="A539" s="130">
        <v>2024.0</v>
      </c>
      <c r="B539" s="130" t="s">
        <v>129</v>
      </c>
      <c r="C539" s="130" t="s">
        <v>80</v>
      </c>
      <c r="D539" s="130" t="s">
        <v>28</v>
      </c>
      <c r="E539" s="130" t="s">
        <v>126</v>
      </c>
      <c r="F539" s="130" t="s">
        <v>127</v>
      </c>
      <c r="G539" s="130" t="s">
        <v>128</v>
      </c>
      <c r="H539" s="132">
        <v>12500.0</v>
      </c>
      <c r="I539" s="130" t="s">
        <v>23</v>
      </c>
      <c r="J539" s="126"/>
      <c r="K539" s="126"/>
      <c r="L539" s="126"/>
      <c r="M539" s="126"/>
      <c r="N539" s="126"/>
      <c r="O539" s="126"/>
    </row>
    <row r="540" ht="15.75" customHeight="1">
      <c r="A540" s="130">
        <v>2024.0</v>
      </c>
      <c r="B540" s="130" t="s">
        <v>129</v>
      </c>
      <c r="C540" s="130" t="s">
        <v>80</v>
      </c>
      <c r="D540" s="130" t="s">
        <v>25</v>
      </c>
      <c r="E540" s="130" t="s">
        <v>138</v>
      </c>
      <c r="F540" s="130" t="s">
        <v>127</v>
      </c>
      <c r="G540" s="130" t="s">
        <v>128</v>
      </c>
      <c r="H540" s="132">
        <v>56000.0</v>
      </c>
      <c r="I540" s="130" t="s">
        <v>20</v>
      </c>
      <c r="J540" s="126"/>
      <c r="K540" s="126"/>
      <c r="L540" s="126"/>
      <c r="M540" s="126"/>
      <c r="N540" s="126"/>
      <c r="O540" s="126"/>
    </row>
    <row r="541" ht="15.75" customHeight="1">
      <c r="A541" s="130">
        <v>2024.0</v>
      </c>
      <c r="B541" s="130" t="s">
        <v>129</v>
      </c>
      <c r="C541" s="130" t="s">
        <v>80</v>
      </c>
      <c r="D541" s="130" t="s">
        <v>26</v>
      </c>
      <c r="E541" s="130" t="s">
        <v>126</v>
      </c>
      <c r="F541" s="130" t="s">
        <v>127</v>
      </c>
      <c r="G541" s="130" t="s">
        <v>128</v>
      </c>
      <c r="H541" s="132">
        <v>7316.0</v>
      </c>
      <c r="I541" s="130" t="s">
        <v>20</v>
      </c>
      <c r="J541" s="126"/>
      <c r="K541" s="126"/>
      <c r="L541" s="126"/>
      <c r="M541" s="126"/>
      <c r="N541" s="126"/>
      <c r="O541" s="126"/>
    </row>
    <row r="542" ht="15.75" customHeight="1">
      <c r="A542" s="130">
        <v>2024.0</v>
      </c>
      <c r="B542" s="130" t="s">
        <v>129</v>
      </c>
      <c r="C542" s="130" t="s">
        <v>80</v>
      </c>
      <c r="D542" s="130" t="s">
        <v>27</v>
      </c>
      <c r="E542" s="130" t="s">
        <v>138</v>
      </c>
      <c r="F542" s="130" t="s">
        <v>127</v>
      </c>
      <c r="G542" s="130" t="s">
        <v>128</v>
      </c>
      <c r="H542" s="132">
        <v>69251.0</v>
      </c>
      <c r="I542" s="130" t="s">
        <v>20</v>
      </c>
      <c r="J542" s="126"/>
      <c r="K542" s="126"/>
      <c r="L542" s="126"/>
      <c r="M542" s="126"/>
      <c r="N542" s="126"/>
      <c r="O542" s="126"/>
    </row>
    <row r="543" ht="15.75" customHeight="1">
      <c r="A543" s="130">
        <v>2024.0</v>
      </c>
      <c r="B543" s="130" t="s">
        <v>129</v>
      </c>
      <c r="C543" s="130" t="s">
        <v>80</v>
      </c>
      <c r="D543" s="130" t="s">
        <v>27</v>
      </c>
      <c r="E543" s="130" t="s">
        <v>138</v>
      </c>
      <c r="F543" s="130" t="s">
        <v>127</v>
      </c>
      <c r="G543" s="130" t="s">
        <v>128</v>
      </c>
      <c r="H543" s="132">
        <v>26100.0</v>
      </c>
      <c r="I543" s="130" t="s">
        <v>23</v>
      </c>
      <c r="J543" s="126"/>
      <c r="K543" s="126"/>
      <c r="L543" s="126"/>
      <c r="M543" s="126"/>
      <c r="N543" s="126"/>
      <c r="O543" s="126"/>
    </row>
    <row r="544" ht="15.75" customHeight="1">
      <c r="A544" s="130">
        <v>2025.0</v>
      </c>
      <c r="B544" s="130" t="s">
        <v>132</v>
      </c>
      <c r="C544" s="130" t="s">
        <v>81</v>
      </c>
      <c r="D544" s="130" t="s">
        <v>28</v>
      </c>
      <c r="E544" s="130" t="s">
        <v>126</v>
      </c>
      <c r="F544" s="130" t="s">
        <v>112</v>
      </c>
      <c r="G544" s="130" t="s">
        <v>128</v>
      </c>
      <c r="H544" s="132">
        <v>517.0</v>
      </c>
      <c r="I544" s="130" t="s">
        <v>23</v>
      </c>
      <c r="J544" s="126"/>
      <c r="K544" s="126"/>
      <c r="L544" s="126"/>
      <c r="M544" s="126"/>
      <c r="N544" s="126"/>
      <c r="O544" s="126"/>
    </row>
    <row r="545" ht="15.75" customHeight="1">
      <c r="A545" s="130">
        <v>2025.0</v>
      </c>
      <c r="B545" s="130" t="s">
        <v>132</v>
      </c>
      <c r="C545" s="130" t="s">
        <v>81</v>
      </c>
      <c r="D545" s="130" t="s">
        <v>25</v>
      </c>
      <c r="E545" s="130" t="s">
        <v>138</v>
      </c>
      <c r="F545" s="130" t="s">
        <v>112</v>
      </c>
      <c r="G545" s="130" t="s">
        <v>128</v>
      </c>
      <c r="H545" s="132">
        <v>259.0</v>
      </c>
      <c r="I545" s="130" t="s">
        <v>20</v>
      </c>
      <c r="J545" s="126"/>
      <c r="K545" s="126"/>
      <c r="L545" s="126"/>
      <c r="M545" s="126"/>
      <c r="N545" s="126"/>
      <c r="O545" s="126"/>
    </row>
    <row r="546" ht="15.75" customHeight="1">
      <c r="A546" s="130">
        <v>2025.0</v>
      </c>
      <c r="B546" s="130" t="s">
        <v>132</v>
      </c>
      <c r="C546" s="130" t="s">
        <v>81</v>
      </c>
      <c r="D546" s="130" t="s">
        <v>25</v>
      </c>
      <c r="E546" s="130" t="s">
        <v>138</v>
      </c>
      <c r="F546" s="130" t="s">
        <v>112</v>
      </c>
      <c r="G546" s="130" t="s">
        <v>128</v>
      </c>
      <c r="H546" s="132">
        <v>157.0</v>
      </c>
      <c r="I546" s="130" t="s">
        <v>21</v>
      </c>
      <c r="J546" s="126"/>
      <c r="K546" s="126"/>
      <c r="L546" s="126"/>
      <c r="M546" s="126"/>
      <c r="N546" s="126"/>
      <c r="O546" s="126"/>
    </row>
    <row r="547" ht="15.75" customHeight="1">
      <c r="A547" s="130">
        <v>2025.0</v>
      </c>
      <c r="B547" s="130" t="s">
        <v>132</v>
      </c>
      <c r="C547" s="130" t="s">
        <v>81</v>
      </c>
      <c r="D547" s="130" t="s">
        <v>26</v>
      </c>
      <c r="E547" s="130" t="s">
        <v>126</v>
      </c>
      <c r="F547" s="130" t="s">
        <v>112</v>
      </c>
      <c r="G547" s="130" t="s">
        <v>128</v>
      </c>
      <c r="H547" s="132">
        <v>180.0</v>
      </c>
      <c r="I547" s="130" t="s">
        <v>20</v>
      </c>
      <c r="J547" s="126"/>
      <c r="K547" s="126"/>
      <c r="L547" s="126"/>
      <c r="M547" s="126"/>
      <c r="N547" s="126"/>
      <c r="O547" s="126"/>
    </row>
    <row r="548" ht="15.75" customHeight="1">
      <c r="A548" s="130">
        <v>2025.0</v>
      </c>
      <c r="B548" s="130" t="s">
        <v>132</v>
      </c>
      <c r="C548" s="130" t="s">
        <v>81</v>
      </c>
      <c r="D548" s="130" t="s">
        <v>27</v>
      </c>
      <c r="E548" s="130" t="s">
        <v>138</v>
      </c>
      <c r="F548" s="130" t="s">
        <v>112</v>
      </c>
      <c r="G548" s="130" t="s">
        <v>128</v>
      </c>
      <c r="H548" s="132">
        <v>2825.0</v>
      </c>
      <c r="I548" s="130" t="s">
        <v>20</v>
      </c>
      <c r="J548" s="126"/>
      <c r="K548" s="126"/>
      <c r="L548" s="126"/>
      <c r="M548" s="126"/>
      <c r="N548" s="126"/>
      <c r="O548" s="126"/>
    </row>
    <row r="549" ht="15.75" customHeight="1">
      <c r="A549" s="130">
        <v>2025.0</v>
      </c>
      <c r="B549" s="130" t="s">
        <v>132</v>
      </c>
      <c r="C549" s="130" t="s">
        <v>81</v>
      </c>
      <c r="D549" s="130" t="s">
        <v>27</v>
      </c>
      <c r="E549" s="130" t="s">
        <v>138</v>
      </c>
      <c r="F549" s="130" t="s">
        <v>112</v>
      </c>
      <c r="G549" s="130" t="s">
        <v>128</v>
      </c>
      <c r="H549" s="132">
        <v>108.0</v>
      </c>
      <c r="I549" s="130" t="s">
        <v>21</v>
      </c>
      <c r="J549" s="126"/>
      <c r="K549" s="126"/>
      <c r="L549" s="126"/>
      <c r="M549" s="126"/>
      <c r="N549" s="126"/>
      <c r="O549" s="126"/>
    </row>
    <row r="550" ht="15.75" customHeight="1">
      <c r="A550" s="130">
        <v>2025.0</v>
      </c>
      <c r="B550" s="130" t="s">
        <v>132</v>
      </c>
      <c r="C550" s="130" t="s">
        <v>81</v>
      </c>
      <c r="D550" s="130" t="s">
        <v>25</v>
      </c>
      <c r="E550" s="130" t="s">
        <v>138</v>
      </c>
      <c r="F550" s="130" t="s">
        <v>135</v>
      </c>
      <c r="G550" s="130" t="s">
        <v>136</v>
      </c>
      <c r="H550" s="132">
        <v>52718.0</v>
      </c>
      <c r="I550" s="130" t="s">
        <v>21</v>
      </c>
      <c r="J550" s="126"/>
      <c r="K550" s="126"/>
      <c r="L550" s="126"/>
      <c r="M550" s="126"/>
      <c r="N550" s="126"/>
      <c r="O550" s="126"/>
    </row>
    <row r="551" ht="15.75" customHeight="1">
      <c r="A551" s="130">
        <v>2025.0</v>
      </c>
      <c r="B551" s="130" t="s">
        <v>132</v>
      </c>
      <c r="C551" s="130" t="s">
        <v>81</v>
      </c>
      <c r="D551" s="130" t="s">
        <v>26</v>
      </c>
      <c r="E551" s="130" t="s">
        <v>126</v>
      </c>
      <c r="F551" s="130" t="s">
        <v>135</v>
      </c>
      <c r="G551" s="130" t="s">
        <v>136</v>
      </c>
      <c r="H551" s="132">
        <v>306.0</v>
      </c>
      <c r="I551" s="130" t="s">
        <v>20</v>
      </c>
      <c r="J551" s="126"/>
      <c r="K551" s="126"/>
      <c r="L551" s="126"/>
      <c r="M551" s="126"/>
      <c r="N551" s="126"/>
      <c r="O551" s="126"/>
    </row>
    <row r="552" ht="15.75" customHeight="1">
      <c r="A552" s="130">
        <v>2025.0</v>
      </c>
      <c r="B552" s="130" t="s">
        <v>132</v>
      </c>
      <c r="C552" s="130" t="s">
        <v>81</v>
      </c>
      <c r="D552" s="130" t="s">
        <v>27</v>
      </c>
      <c r="E552" s="130" t="s">
        <v>138</v>
      </c>
      <c r="F552" s="130" t="s">
        <v>135</v>
      </c>
      <c r="G552" s="130" t="s">
        <v>136</v>
      </c>
      <c r="H552" s="132">
        <v>81889.0</v>
      </c>
      <c r="I552" s="130" t="s">
        <v>21</v>
      </c>
      <c r="J552" s="126"/>
      <c r="K552" s="126"/>
      <c r="L552" s="126"/>
      <c r="M552" s="126"/>
      <c r="N552" s="126"/>
      <c r="O552" s="126"/>
    </row>
    <row r="553" ht="15.75" customHeight="1">
      <c r="A553" s="130">
        <v>2025.0</v>
      </c>
      <c r="B553" s="130" t="s">
        <v>132</v>
      </c>
      <c r="C553" s="130" t="s">
        <v>81</v>
      </c>
      <c r="D553" s="130" t="s">
        <v>25</v>
      </c>
      <c r="E553" s="130" t="s">
        <v>138</v>
      </c>
      <c r="F553" s="130" t="s">
        <v>134</v>
      </c>
      <c r="G553" s="130" t="s">
        <v>134</v>
      </c>
      <c r="H553" s="132">
        <v>21857.0</v>
      </c>
      <c r="I553" s="130" t="s">
        <v>21</v>
      </c>
      <c r="J553" s="126"/>
      <c r="K553" s="126"/>
      <c r="L553" s="126"/>
      <c r="M553" s="126"/>
      <c r="N553" s="126"/>
      <c r="O553" s="126"/>
    </row>
    <row r="554" ht="15.75" customHeight="1">
      <c r="A554" s="130">
        <v>2025.0</v>
      </c>
      <c r="B554" s="130" t="s">
        <v>132</v>
      </c>
      <c r="C554" s="130" t="s">
        <v>81</v>
      </c>
      <c r="D554" s="130" t="s">
        <v>26</v>
      </c>
      <c r="E554" s="130" t="s">
        <v>126</v>
      </c>
      <c r="F554" s="130" t="s">
        <v>134</v>
      </c>
      <c r="G554" s="130" t="s">
        <v>134</v>
      </c>
      <c r="H554" s="132">
        <v>400.0</v>
      </c>
      <c r="I554" s="130" t="s">
        <v>20</v>
      </c>
      <c r="J554" s="126"/>
      <c r="K554" s="126"/>
      <c r="L554" s="126"/>
      <c r="M554" s="126"/>
      <c r="N554" s="126"/>
      <c r="O554" s="126"/>
    </row>
    <row r="555" ht="15.75" customHeight="1">
      <c r="A555" s="130">
        <v>2025.0</v>
      </c>
      <c r="B555" s="130" t="s">
        <v>132</v>
      </c>
      <c r="C555" s="130" t="s">
        <v>81</v>
      </c>
      <c r="D555" s="130" t="s">
        <v>27</v>
      </c>
      <c r="E555" s="130" t="s">
        <v>138</v>
      </c>
      <c r="F555" s="130" t="s">
        <v>134</v>
      </c>
      <c r="G555" s="130" t="s">
        <v>134</v>
      </c>
      <c r="H555" s="132">
        <v>31695.0</v>
      </c>
      <c r="I555" s="130" t="s">
        <v>22</v>
      </c>
      <c r="J555" s="126"/>
      <c r="K555" s="126"/>
      <c r="L555" s="126"/>
      <c r="M555" s="126"/>
      <c r="N555" s="126"/>
      <c r="O555" s="126"/>
    </row>
    <row r="556" ht="15.75" customHeight="1">
      <c r="A556" s="130">
        <v>2025.0</v>
      </c>
      <c r="B556" s="130" t="s">
        <v>132</v>
      </c>
      <c r="C556" s="130" t="s">
        <v>81</v>
      </c>
      <c r="D556" s="130" t="s">
        <v>27</v>
      </c>
      <c r="E556" s="130" t="s">
        <v>138</v>
      </c>
      <c r="F556" s="130" t="s">
        <v>134</v>
      </c>
      <c r="G556" s="130" t="s">
        <v>134</v>
      </c>
      <c r="H556" s="132">
        <v>0.0</v>
      </c>
      <c r="I556" s="130" t="s">
        <v>21</v>
      </c>
      <c r="J556" s="126"/>
      <c r="K556" s="126"/>
      <c r="L556" s="126"/>
      <c r="M556" s="126"/>
      <c r="N556" s="126"/>
      <c r="O556" s="126"/>
    </row>
    <row r="557" ht="15.75" customHeight="1">
      <c r="A557" s="130">
        <v>2025.0</v>
      </c>
      <c r="B557" s="130" t="s">
        <v>132</v>
      </c>
      <c r="C557" s="130" t="s">
        <v>81</v>
      </c>
      <c r="D557" s="130" t="s">
        <v>25</v>
      </c>
      <c r="E557" s="130" t="s">
        <v>138</v>
      </c>
      <c r="F557" s="130" t="s">
        <v>137</v>
      </c>
      <c r="G557" s="130" t="s">
        <v>136</v>
      </c>
      <c r="H557" s="132">
        <v>850.0</v>
      </c>
      <c r="I557" s="130" t="s">
        <v>20</v>
      </c>
      <c r="J557" s="126"/>
      <c r="K557" s="126"/>
      <c r="L557" s="126"/>
      <c r="M557" s="126"/>
      <c r="N557" s="126"/>
      <c r="O557" s="126"/>
    </row>
    <row r="558" ht="15.75" customHeight="1">
      <c r="A558" s="130">
        <v>2025.0</v>
      </c>
      <c r="B558" s="130" t="s">
        <v>132</v>
      </c>
      <c r="C558" s="130" t="s">
        <v>81</v>
      </c>
      <c r="D558" s="130" t="s">
        <v>25</v>
      </c>
      <c r="E558" s="130" t="s">
        <v>138</v>
      </c>
      <c r="F558" s="130" t="s">
        <v>137</v>
      </c>
      <c r="G558" s="130" t="s">
        <v>136</v>
      </c>
      <c r="H558" s="132">
        <v>9077.0</v>
      </c>
      <c r="I558" s="130" t="s">
        <v>21</v>
      </c>
      <c r="J558" s="126"/>
      <c r="K558" s="126"/>
      <c r="L558" s="126"/>
      <c r="M558" s="126"/>
      <c r="N558" s="126"/>
      <c r="O558" s="126"/>
    </row>
    <row r="559" ht="15.75" customHeight="1">
      <c r="A559" s="130">
        <v>2025.0</v>
      </c>
      <c r="B559" s="130" t="s">
        <v>132</v>
      </c>
      <c r="C559" s="130" t="s">
        <v>81</v>
      </c>
      <c r="D559" s="130" t="s">
        <v>26</v>
      </c>
      <c r="E559" s="130" t="s">
        <v>126</v>
      </c>
      <c r="F559" s="130" t="s">
        <v>137</v>
      </c>
      <c r="G559" s="130" t="s">
        <v>136</v>
      </c>
      <c r="H559" s="132">
        <v>364.0</v>
      </c>
      <c r="I559" s="130" t="s">
        <v>20</v>
      </c>
      <c r="J559" s="126"/>
      <c r="K559" s="126"/>
      <c r="L559" s="126"/>
      <c r="M559" s="126"/>
      <c r="N559" s="126"/>
      <c r="O559" s="126"/>
    </row>
    <row r="560" ht="15.75" customHeight="1">
      <c r="A560" s="130">
        <v>2025.0</v>
      </c>
      <c r="B560" s="130" t="s">
        <v>132</v>
      </c>
      <c r="C560" s="130" t="s">
        <v>81</v>
      </c>
      <c r="D560" s="130" t="s">
        <v>27</v>
      </c>
      <c r="E560" s="130" t="s">
        <v>138</v>
      </c>
      <c r="F560" s="130" t="s">
        <v>137</v>
      </c>
      <c r="G560" s="130" t="s">
        <v>136</v>
      </c>
      <c r="H560" s="132">
        <v>4988.0</v>
      </c>
      <c r="I560" s="130" t="s">
        <v>22</v>
      </c>
      <c r="J560" s="126"/>
      <c r="K560" s="126"/>
      <c r="L560" s="126"/>
      <c r="M560" s="126"/>
      <c r="N560" s="126"/>
      <c r="O560" s="126"/>
    </row>
    <row r="561" ht="15.75" customHeight="1">
      <c r="A561" s="130">
        <v>2025.0</v>
      </c>
      <c r="B561" s="130" t="s">
        <v>132</v>
      </c>
      <c r="C561" s="130" t="s">
        <v>81</v>
      </c>
      <c r="D561" s="130" t="s">
        <v>27</v>
      </c>
      <c r="E561" s="130" t="s">
        <v>138</v>
      </c>
      <c r="F561" s="130" t="s">
        <v>137</v>
      </c>
      <c r="G561" s="130" t="s">
        <v>136</v>
      </c>
      <c r="H561" s="132"/>
      <c r="I561" s="130" t="s">
        <v>20</v>
      </c>
      <c r="J561" s="126"/>
      <c r="K561" s="126"/>
      <c r="L561" s="126"/>
      <c r="M561" s="126"/>
      <c r="N561" s="126"/>
      <c r="O561" s="126"/>
    </row>
    <row r="562" ht="15.75" customHeight="1">
      <c r="A562" s="130">
        <v>2025.0</v>
      </c>
      <c r="B562" s="130" t="s">
        <v>132</v>
      </c>
      <c r="C562" s="130" t="s">
        <v>81</v>
      </c>
      <c r="D562" s="130" t="s">
        <v>27</v>
      </c>
      <c r="E562" s="130" t="s">
        <v>138</v>
      </c>
      <c r="F562" s="130" t="s">
        <v>137</v>
      </c>
      <c r="G562" s="130" t="s">
        <v>136</v>
      </c>
      <c r="H562" s="132">
        <v>8147.0</v>
      </c>
      <c r="I562" s="130" t="s">
        <v>21</v>
      </c>
      <c r="J562" s="126"/>
      <c r="K562" s="126"/>
      <c r="L562" s="126"/>
      <c r="M562" s="126"/>
      <c r="N562" s="126"/>
      <c r="O562" s="126"/>
    </row>
    <row r="563" ht="15.75" customHeight="1">
      <c r="A563" s="130">
        <v>2025.0</v>
      </c>
      <c r="B563" s="130" t="s">
        <v>132</v>
      </c>
      <c r="C563" s="130" t="s">
        <v>81</v>
      </c>
      <c r="D563" s="130" t="s">
        <v>28</v>
      </c>
      <c r="E563" s="130" t="s">
        <v>126</v>
      </c>
      <c r="F563" s="130" t="s">
        <v>127</v>
      </c>
      <c r="G563" s="130" t="s">
        <v>128</v>
      </c>
      <c r="H563" s="132">
        <v>4878.0</v>
      </c>
      <c r="I563" s="130" t="s">
        <v>23</v>
      </c>
      <c r="J563" s="126"/>
      <c r="K563" s="126"/>
      <c r="L563" s="126"/>
      <c r="M563" s="126"/>
      <c r="N563" s="126"/>
      <c r="O563" s="126"/>
    </row>
    <row r="564" ht="15.75" customHeight="1">
      <c r="A564" s="130">
        <v>2025.0</v>
      </c>
      <c r="B564" s="130" t="s">
        <v>132</v>
      </c>
      <c r="C564" s="130" t="s">
        <v>81</v>
      </c>
      <c r="D564" s="130" t="s">
        <v>25</v>
      </c>
      <c r="E564" s="130" t="s">
        <v>138</v>
      </c>
      <c r="F564" s="130" t="s">
        <v>127</v>
      </c>
      <c r="G564" s="130" t="s">
        <v>128</v>
      </c>
      <c r="H564" s="132">
        <v>50640.0</v>
      </c>
      <c r="I564" s="130" t="s">
        <v>20</v>
      </c>
      <c r="J564" s="126"/>
      <c r="K564" s="126"/>
      <c r="L564" s="126"/>
      <c r="M564" s="126"/>
      <c r="N564" s="126"/>
      <c r="O564" s="126"/>
    </row>
    <row r="565" ht="15.75" customHeight="1">
      <c r="A565" s="130">
        <v>2025.0</v>
      </c>
      <c r="B565" s="130" t="s">
        <v>132</v>
      </c>
      <c r="C565" s="130" t="s">
        <v>81</v>
      </c>
      <c r="D565" s="130" t="s">
        <v>26</v>
      </c>
      <c r="E565" s="130" t="s">
        <v>126</v>
      </c>
      <c r="F565" s="130" t="s">
        <v>127</v>
      </c>
      <c r="G565" s="130" t="s">
        <v>128</v>
      </c>
      <c r="H565" s="132">
        <v>6236.0</v>
      </c>
      <c r="I565" s="130" t="s">
        <v>20</v>
      </c>
      <c r="J565" s="126"/>
      <c r="K565" s="126"/>
      <c r="L565" s="126"/>
      <c r="M565" s="126"/>
      <c r="N565" s="126"/>
      <c r="O565" s="126"/>
    </row>
    <row r="566" ht="15.75" customHeight="1">
      <c r="A566" s="130">
        <v>2025.0</v>
      </c>
      <c r="B566" s="130" t="s">
        <v>132</v>
      </c>
      <c r="C566" s="130" t="s">
        <v>81</v>
      </c>
      <c r="D566" s="130" t="s">
        <v>27</v>
      </c>
      <c r="E566" s="130" t="s">
        <v>138</v>
      </c>
      <c r="F566" s="130" t="s">
        <v>127</v>
      </c>
      <c r="G566" s="130" t="s">
        <v>128</v>
      </c>
      <c r="H566" s="132">
        <v>38590.0</v>
      </c>
      <c r="I566" s="130" t="s">
        <v>20</v>
      </c>
      <c r="J566" s="126"/>
      <c r="K566" s="126"/>
      <c r="L566" s="126"/>
      <c r="M566" s="126"/>
      <c r="N566" s="126"/>
      <c r="O566" s="126"/>
    </row>
    <row r="567" ht="15.75" customHeight="1">
      <c r="A567" s="130">
        <v>2025.0</v>
      </c>
      <c r="B567" s="130" t="s">
        <v>132</v>
      </c>
      <c r="C567" s="130" t="s">
        <v>81</v>
      </c>
      <c r="D567" s="130" t="s">
        <v>27</v>
      </c>
      <c r="E567" s="130" t="s">
        <v>138</v>
      </c>
      <c r="F567" s="130" t="s">
        <v>127</v>
      </c>
      <c r="G567" s="130" t="s">
        <v>128</v>
      </c>
      <c r="H567" s="132">
        <v>20000.0</v>
      </c>
      <c r="I567" s="130" t="s">
        <v>23</v>
      </c>
      <c r="J567" s="126"/>
      <c r="K567" s="126"/>
      <c r="L567" s="126"/>
      <c r="M567" s="126"/>
      <c r="N567" s="126"/>
      <c r="O567" s="126"/>
    </row>
    <row r="568" ht="15.75" customHeight="1">
      <c r="A568" s="130">
        <v>2025.0</v>
      </c>
      <c r="B568" s="130" t="s">
        <v>133</v>
      </c>
      <c r="C568" s="130" t="s">
        <v>82</v>
      </c>
      <c r="D568" s="130" t="s">
        <v>28</v>
      </c>
      <c r="E568" s="130" t="s">
        <v>126</v>
      </c>
      <c r="F568" s="130" t="s">
        <v>112</v>
      </c>
      <c r="G568" s="130" t="s">
        <v>128</v>
      </c>
      <c r="H568" s="132">
        <v>490.0</v>
      </c>
      <c r="I568" s="130" t="s">
        <v>23</v>
      </c>
      <c r="J568" s="126"/>
      <c r="K568" s="126"/>
      <c r="L568" s="126"/>
      <c r="M568" s="126"/>
      <c r="N568" s="126"/>
      <c r="O568" s="126"/>
    </row>
    <row r="569" ht="15.75" customHeight="1">
      <c r="A569" s="130">
        <v>2025.0</v>
      </c>
      <c r="B569" s="130" t="s">
        <v>133</v>
      </c>
      <c r="C569" s="130" t="s">
        <v>82</v>
      </c>
      <c r="D569" s="130" t="s">
        <v>25</v>
      </c>
      <c r="E569" s="130" t="s">
        <v>138</v>
      </c>
      <c r="F569" s="130" t="s">
        <v>112</v>
      </c>
      <c r="G569" s="130" t="s">
        <v>128</v>
      </c>
      <c r="H569" s="132">
        <v>806.0</v>
      </c>
      <c r="I569" s="130" t="s">
        <v>20</v>
      </c>
      <c r="J569" s="126"/>
      <c r="K569" s="126"/>
      <c r="L569" s="126"/>
      <c r="M569" s="126"/>
      <c r="N569" s="126"/>
      <c r="O569" s="126"/>
    </row>
    <row r="570" ht="15.75" customHeight="1">
      <c r="A570" s="130">
        <v>2025.0</v>
      </c>
      <c r="B570" s="130" t="s">
        <v>133</v>
      </c>
      <c r="C570" s="130" t="s">
        <v>82</v>
      </c>
      <c r="D570" s="130" t="s">
        <v>25</v>
      </c>
      <c r="E570" s="130" t="s">
        <v>138</v>
      </c>
      <c r="F570" s="130" t="s">
        <v>112</v>
      </c>
      <c r="G570" s="130" t="s">
        <v>128</v>
      </c>
      <c r="H570" s="132">
        <v>66.0</v>
      </c>
      <c r="I570" s="130" t="s">
        <v>21</v>
      </c>
      <c r="J570" s="126"/>
      <c r="K570" s="126"/>
      <c r="L570" s="126"/>
      <c r="M570" s="126"/>
      <c r="N570" s="126"/>
      <c r="O570" s="126"/>
    </row>
    <row r="571" ht="15.75" customHeight="1">
      <c r="A571" s="130">
        <v>2025.0</v>
      </c>
      <c r="B571" s="130" t="s">
        <v>133</v>
      </c>
      <c r="C571" s="130" t="s">
        <v>82</v>
      </c>
      <c r="D571" s="130" t="s">
        <v>26</v>
      </c>
      <c r="E571" s="130" t="s">
        <v>126</v>
      </c>
      <c r="F571" s="130" t="s">
        <v>112</v>
      </c>
      <c r="G571" s="130" t="s">
        <v>128</v>
      </c>
      <c r="H571" s="132">
        <v>72.0</v>
      </c>
      <c r="I571" s="130" t="s">
        <v>20</v>
      </c>
      <c r="J571" s="126"/>
      <c r="K571" s="126"/>
      <c r="L571" s="126"/>
      <c r="M571" s="126"/>
      <c r="N571" s="126"/>
      <c r="O571" s="126"/>
    </row>
    <row r="572" ht="15.75" customHeight="1">
      <c r="A572" s="130">
        <v>2025.0</v>
      </c>
      <c r="B572" s="130" t="s">
        <v>133</v>
      </c>
      <c r="C572" s="130" t="s">
        <v>82</v>
      </c>
      <c r="D572" s="130" t="s">
        <v>27</v>
      </c>
      <c r="E572" s="130" t="s">
        <v>138</v>
      </c>
      <c r="F572" s="130" t="s">
        <v>112</v>
      </c>
      <c r="G572" s="130" t="s">
        <v>128</v>
      </c>
      <c r="H572" s="132">
        <v>1382.0</v>
      </c>
      <c r="I572" s="130" t="s">
        <v>20</v>
      </c>
      <c r="J572" s="126"/>
      <c r="K572" s="126"/>
      <c r="L572" s="126"/>
      <c r="M572" s="126"/>
      <c r="N572" s="126"/>
      <c r="O572" s="126"/>
    </row>
    <row r="573" ht="15.75" customHeight="1">
      <c r="A573" s="130">
        <v>2025.0</v>
      </c>
      <c r="B573" s="130" t="s">
        <v>133</v>
      </c>
      <c r="C573" s="130" t="s">
        <v>82</v>
      </c>
      <c r="D573" s="130" t="s">
        <v>27</v>
      </c>
      <c r="E573" s="130" t="s">
        <v>138</v>
      </c>
      <c r="F573" s="130" t="s">
        <v>112</v>
      </c>
      <c r="G573" s="130" t="s">
        <v>128</v>
      </c>
      <c r="H573" s="132">
        <v>152.0</v>
      </c>
      <c r="I573" s="130" t="s">
        <v>21</v>
      </c>
      <c r="J573" s="126"/>
      <c r="K573" s="126"/>
      <c r="L573" s="126"/>
      <c r="M573" s="126"/>
      <c r="N573" s="126"/>
      <c r="O573" s="126"/>
    </row>
    <row r="574" ht="15.75" customHeight="1">
      <c r="A574" s="130">
        <v>2025.0</v>
      </c>
      <c r="B574" s="130" t="s">
        <v>133</v>
      </c>
      <c r="C574" s="130" t="s">
        <v>82</v>
      </c>
      <c r="D574" s="130" t="s">
        <v>25</v>
      </c>
      <c r="E574" s="130" t="s">
        <v>138</v>
      </c>
      <c r="F574" s="130" t="s">
        <v>135</v>
      </c>
      <c r="G574" s="130" t="s">
        <v>136</v>
      </c>
      <c r="H574" s="132">
        <v>39201.0</v>
      </c>
      <c r="I574" s="130" t="s">
        <v>21</v>
      </c>
      <c r="J574" s="126"/>
      <c r="K574" s="126"/>
      <c r="L574" s="126"/>
      <c r="M574" s="126"/>
      <c r="N574" s="126"/>
      <c r="O574" s="126"/>
    </row>
    <row r="575" ht="15.75" customHeight="1">
      <c r="A575" s="130">
        <v>2025.0</v>
      </c>
      <c r="B575" s="130" t="s">
        <v>133</v>
      </c>
      <c r="C575" s="130" t="s">
        <v>82</v>
      </c>
      <c r="D575" s="130" t="s">
        <v>26</v>
      </c>
      <c r="E575" s="130" t="s">
        <v>126</v>
      </c>
      <c r="F575" s="130" t="s">
        <v>135</v>
      </c>
      <c r="G575" s="130" t="s">
        <v>136</v>
      </c>
      <c r="H575" s="132">
        <v>232.0</v>
      </c>
      <c r="I575" s="130" t="s">
        <v>20</v>
      </c>
      <c r="J575" s="126"/>
      <c r="K575" s="126"/>
      <c r="L575" s="126"/>
      <c r="M575" s="126"/>
      <c r="N575" s="126"/>
      <c r="O575" s="126"/>
    </row>
    <row r="576" ht="15.75" customHeight="1">
      <c r="A576" s="130">
        <v>2025.0</v>
      </c>
      <c r="B576" s="130" t="s">
        <v>133</v>
      </c>
      <c r="C576" s="130" t="s">
        <v>82</v>
      </c>
      <c r="D576" s="130" t="s">
        <v>27</v>
      </c>
      <c r="E576" s="130" t="s">
        <v>138</v>
      </c>
      <c r="F576" s="130" t="s">
        <v>135</v>
      </c>
      <c r="G576" s="130" t="s">
        <v>136</v>
      </c>
      <c r="H576" s="132">
        <v>89602.0</v>
      </c>
      <c r="I576" s="130" t="s">
        <v>21</v>
      </c>
      <c r="J576" s="126"/>
      <c r="K576" s="126"/>
      <c r="L576" s="126"/>
      <c r="M576" s="126"/>
      <c r="N576" s="126"/>
      <c r="O576" s="126"/>
    </row>
    <row r="577" ht="15.75" customHeight="1">
      <c r="A577" s="130">
        <v>2025.0</v>
      </c>
      <c r="B577" s="130" t="s">
        <v>133</v>
      </c>
      <c r="C577" s="130" t="s">
        <v>82</v>
      </c>
      <c r="D577" s="130" t="s">
        <v>25</v>
      </c>
      <c r="E577" s="130" t="s">
        <v>138</v>
      </c>
      <c r="F577" s="130" t="s">
        <v>134</v>
      </c>
      <c r="G577" s="130" t="s">
        <v>134</v>
      </c>
      <c r="H577" s="132">
        <v>16583.0</v>
      </c>
      <c r="I577" s="130" t="s">
        <v>21</v>
      </c>
      <c r="J577" s="126"/>
      <c r="K577" s="126"/>
      <c r="L577" s="126"/>
      <c r="M577" s="126"/>
      <c r="N577" s="126"/>
      <c r="O577" s="126"/>
    </row>
    <row r="578" ht="15.75" customHeight="1">
      <c r="A578" s="130">
        <v>2025.0</v>
      </c>
      <c r="B578" s="130" t="s">
        <v>133</v>
      </c>
      <c r="C578" s="130" t="s">
        <v>82</v>
      </c>
      <c r="D578" s="130" t="s">
        <v>26</v>
      </c>
      <c r="E578" s="130" t="s">
        <v>126</v>
      </c>
      <c r="F578" s="130" t="s">
        <v>134</v>
      </c>
      <c r="G578" s="130" t="s">
        <v>134</v>
      </c>
      <c r="H578" s="132">
        <v>163.0</v>
      </c>
      <c r="I578" s="130" t="s">
        <v>20</v>
      </c>
      <c r="J578" s="126"/>
      <c r="K578" s="126"/>
      <c r="L578" s="126"/>
      <c r="M578" s="126"/>
      <c r="N578" s="126"/>
      <c r="O578" s="126"/>
    </row>
    <row r="579" ht="15.75" customHeight="1">
      <c r="A579" s="130">
        <v>2025.0</v>
      </c>
      <c r="B579" s="130" t="s">
        <v>133</v>
      </c>
      <c r="C579" s="130" t="s">
        <v>82</v>
      </c>
      <c r="D579" s="130" t="s">
        <v>27</v>
      </c>
      <c r="E579" s="130" t="s">
        <v>138</v>
      </c>
      <c r="F579" s="130" t="s">
        <v>134</v>
      </c>
      <c r="G579" s="130" t="s">
        <v>134</v>
      </c>
      <c r="H579" s="132">
        <v>34145.0</v>
      </c>
      <c r="I579" s="130" t="s">
        <v>22</v>
      </c>
      <c r="J579" s="126"/>
      <c r="K579" s="126"/>
      <c r="L579" s="126"/>
      <c r="M579" s="126"/>
      <c r="N579" s="126"/>
      <c r="O579" s="126"/>
    </row>
    <row r="580" ht="15.75" customHeight="1">
      <c r="A580" s="130">
        <v>2025.0</v>
      </c>
      <c r="B580" s="130" t="s">
        <v>133</v>
      </c>
      <c r="C580" s="130" t="s">
        <v>82</v>
      </c>
      <c r="D580" s="130" t="s">
        <v>27</v>
      </c>
      <c r="E580" s="130" t="s">
        <v>138</v>
      </c>
      <c r="F580" s="130" t="s">
        <v>134</v>
      </c>
      <c r="G580" s="130" t="s">
        <v>134</v>
      </c>
      <c r="H580" s="132">
        <v>5000.0</v>
      </c>
      <c r="I580" s="130" t="s">
        <v>21</v>
      </c>
      <c r="J580" s="126"/>
      <c r="K580" s="126"/>
      <c r="L580" s="126"/>
      <c r="M580" s="126"/>
      <c r="N580" s="126"/>
      <c r="O580" s="126"/>
    </row>
    <row r="581" ht="15.75" customHeight="1">
      <c r="A581" s="130">
        <v>2025.0</v>
      </c>
      <c r="B581" s="130" t="s">
        <v>133</v>
      </c>
      <c r="C581" s="130" t="s">
        <v>82</v>
      </c>
      <c r="D581" s="130" t="s">
        <v>25</v>
      </c>
      <c r="E581" s="130" t="s">
        <v>138</v>
      </c>
      <c r="F581" s="130" t="s">
        <v>137</v>
      </c>
      <c r="G581" s="130" t="s">
        <v>136</v>
      </c>
      <c r="H581" s="132">
        <v>574.0</v>
      </c>
      <c r="I581" s="130" t="s">
        <v>20</v>
      </c>
      <c r="J581" s="126"/>
      <c r="K581" s="126"/>
      <c r="L581" s="126"/>
      <c r="M581" s="126"/>
      <c r="N581" s="126"/>
      <c r="O581" s="126"/>
    </row>
    <row r="582" ht="15.75" customHeight="1">
      <c r="A582" s="130">
        <v>2025.0</v>
      </c>
      <c r="B582" s="130" t="s">
        <v>133</v>
      </c>
      <c r="C582" s="130" t="s">
        <v>82</v>
      </c>
      <c r="D582" s="130" t="s">
        <v>25</v>
      </c>
      <c r="E582" s="130" t="s">
        <v>138</v>
      </c>
      <c r="F582" s="130" t="s">
        <v>137</v>
      </c>
      <c r="G582" s="130" t="s">
        <v>136</v>
      </c>
      <c r="H582" s="132">
        <v>6190.0</v>
      </c>
      <c r="I582" s="130" t="s">
        <v>21</v>
      </c>
      <c r="J582" s="126"/>
      <c r="K582" s="126"/>
      <c r="L582" s="126"/>
      <c r="M582" s="126"/>
      <c r="N582" s="126"/>
      <c r="O582" s="126"/>
    </row>
    <row r="583" ht="15.75" customHeight="1">
      <c r="A583" s="130">
        <v>2025.0</v>
      </c>
      <c r="B583" s="130" t="s">
        <v>133</v>
      </c>
      <c r="C583" s="130" t="s">
        <v>82</v>
      </c>
      <c r="D583" s="130" t="s">
        <v>26</v>
      </c>
      <c r="E583" s="130" t="s">
        <v>126</v>
      </c>
      <c r="F583" s="130" t="s">
        <v>137</v>
      </c>
      <c r="G583" s="130" t="s">
        <v>136</v>
      </c>
      <c r="H583" s="132">
        <v>97.0</v>
      </c>
      <c r="I583" s="130" t="s">
        <v>20</v>
      </c>
      <c r="J583" s="126"/>
      <c r="K583" s="126"/>
      <c r="L583" s="126"/>
      <c r="M583" s="126"/>
      <c r="N583" s="126"/>
      <c r="O583" s="126"/>
    </row>
    <row r="584" ht="15.75" customHeight="1">
      <c r="A584" s="130">
        <v>2025.0</v>
      </c>
      <c r="B584" s="130" t="s">
        <v>133</v>
      </c>
      <c r="C584" s="130" t="s">
        <v>82</v>
      </c>
      <c r="D584" s="130" t="s">
        <v>27</v>
      </c>
      <c r="E584" s="130" t="s">
        <v>138</v>
      </c>
      <c r="F584" s="130" t="s">
        <v>137</v>
      </c>
      <c r="G584" s="130" t="s">
        <v>136</v>
      </c>
      <c r="H584" s="132">
        <v>11429.0</v>
      </c>
      <c r="I584" s="130" t="s">
        <v>22</v>
      </c>
      <c r="J584" s="126"/>
      <c r="K584" s="126"/>
      <c r="L584" s="126"/>
      <c r="M584" s="126"/>
      <c r="N584" s="126"/>
      <c r="O584" s="126"/>
    </row>
    <row r="585" ht="15.75" customHeight="1">
      <c r="A585" s="130">
        <v>2025.0</v>
      </c>
      <c r="B585" s="130" t="s">
        <v>133</v>
      </c>
      <c r="C585" s="130" t="s">
        <v>82</v>
      </c>
      <c r="D585" s="130" t="s">
        <v>27</v>
      </c>
      <c r="E585" s="130" t="s">
        <v>138</v>
      </c>
      <c r="F585" s="130" t="s">
        <v>137</v>
      </c>
      <c r="G585" s="130" t="s">
        <v>136</v>
      </c>
      <c r="H585" s="132"/>
      <c r="I585" s="130" t="s">
        <v>20</v>
      </c>
      <c r="J585" s="126"/>
      <c r="K585" s="126"/>
      <c r="L585" s="126"/>
      <c r="M585" s="126"/>
      <c r="N585" s="126"/>
      <c r="O585" s="126"/>
    </row>
    <row r="586" ht="15.75" customHeight="1">
      <c r="A586" s="130">
        <v>2025.0</v>
      </c>
      <c r="B586" s="130" t="s">
        <v>133</v>
      </c>
      <c r="C586" s="130" t="s">
        <v>82</v>
      </c>
      <c r="D586" s="130" t="s">
        <v>27</v>
      </c>
      <c r="E586" s="130" t="s">
        <v>138</v>
      </c>
      <c r="F586" s="130" t="s">
        <v>137</v>
      </c>
      <c r="G586" s="130" t="s">
        <v>136</v>
      </c>
      <c r="H586" s="132">
        <v>28796.0</v>
      </c>
      <c r="I586" s="130" t="s">
        <v>21</v>
      </c>
      <c r="J586" s="126"/>
      <c r="K586" s="126"/>
      <c r="L586" s="126"/>
      <c r="M586" s="126"/>
      <c r="N586" s="126"/>
      <c r="O586" s="126"/>
    </row>
    <row r="587" ht="15.75" customHeight="1">
      <c r="A587" s="130">
        <v>2025.0</v>
      </c>
      <c r="B587" s="130" t="s">
        <v>133</v>
      </c>
      <c r="C587" s="130" t="s">
        <v>82</v>
      </c>
      <c r="D587" s="130" t="s">
        <v>28</v>
      </c>
      <c r="E587" s="130" t="s">
        <v>126</v>
      </c>
      <c r="F587" s="130" t="s">
        <v>127</v>
      </c>
      <c r="G587" s="130" t="s">
        <v>128</v>
      </c>
      <c r="H587" s="132">
        <v>4900.0</v>
      </c>
      <c r="I587" s="130" t="s">
        <v>23</v>
      </c>
      <c r="J587" s="126"/>
      <c r="K587" s="126"/>
      <c r="L587" s="126"/>
      <c r="M587" s="126"/>
      <c r="N587" s="126"/>
      <c r="O587" s="126"/>
    </row>
    <row r="588" ht="15.75" customHeight="1">
      <c r="A588" s="130">
        <v>2025.0</v>
      </c>
      <c r="B588" s="130" t="s">
        <v>133</v>
      </c>
      <c r="C588" s="130" t="s">
        <v>82</v>
      </c>
      <c r="D588" s="130" t="s">
        <v>25</v>
      </c>
      <c r="E588" s="130" t="s">
        <v>138</v>
      </c>
      <c r="F588" s="130" t="s">
        <v>127</v>
      </c>
      <c r="G588" s="130" t="s">
        <v>128</v>
      </c>
      <c r="H588" s="132">
        <v>49000.0</v>
      </c>
      <c r="I588" s="130" t="s">
        <v>20</v>
      </c>
      <c r="J588" s="126"/>
      <c r="K588" s="126"/>
      <c r="L588" s="126"/>
      <c r="M588" s="126"/>
      <c r="N588" s="126"/>
      <c r="O588" s="126"/>
    </row>
    <row r="589" ht="15.75" customHeight="1">
      <c r="A589" s="130">
        <v>2025.0</v>
      </c>
      <c r="B589" s="130" t="s">
        <v>133</v>
      </c>
      <c r="C589" s="130" t="s">
        <v>82</v>
      </c>
      <c r="D589" s="130" t="s">
        <v>26</v>
      </c>
      <c r="E589" s="130" t="s">
        <v>126</v>
      </c>
      <c r="F589" s="130" t="s">
        <v>127</v>
      </c>
      <c r="G589" s="130" t="s">
        <v>128</v>
      </c>
      <c r="H589" s="132">
        <v>4440.0</v>
      </c>
      <c r="I589" s="130" t="s">
        <v>20</v>
      </c>
      <c r="J589" s="126"/>
      <c r="K589" s="126"/>
      <c r="L589" s="126"/>
      <c r="M589" s="126"/>
      <c r="N589" s="126"/>
      <c r="O589" s="126"/>
    </row>
    <row r="590" ht="15.75" customHeight="1">
      <c r="A590" s="130">
        <v>2025.0</v>
      </c>
      <c r="B590" s="130" t="s">
        <v>133</v>
      </c>
      <c r="C590" s="130" t="s">
        <v>82</v>
      </c>
      <c r="D590" s="130" t="s">
        <v>27</v>
      </c>
      <c r="E590" s="130" t="s">
        <v>138</v>
      </c>
      <c r="F590" s="130" t="s">
        <v>127</v>
      </c>
      <c r="G590" s="130" t="s">
        <v>128</v>
      </c>
      <c r="H590" s="132">
        <v>50802.0</v>
      </c>
      <c r="I590" s="130" t="s">
        <v>20</v>
      </c>
      <c r="J590" s="126"/>
      <c r="K590" s="126"/>
      <c r="L590" s="126"/>
      <c r="M590" s="126"/>
      <c r="N590" s="126"/>
      <c r="O590" s="126"/>
    </row>
    <row r="591" ht="15.75" customHeight="1">
      <c r="A591" s="130">
        <v>2025.0</v>
      </c>
      <c r="B591" s="130" t="s">
        <v>133</v>
      </c>
      <c r="C591" s="130" t="s">
        <v>82</v>
      </c>
      <c r="D591" s="130" t="s">
        <v>27</v>
      </c>
      <c r="E591" s="130" t="s">
        <v>138</v>
      </c>
      <c r="F591" s="130" t="s">
        <v>127</v>
      </c>
      <c r="G591" s="130" t="s">
        <v>128</v>
      </c>
      <c r="H591" s="132">
        <v>40000.0</v>
      </c>
      <c r="I591" s="130" t="s">
        <v>23</v>
      </c>
      <c r="J591" s="126"/>
      <c r="K591" s="126"/>
      <c r="L591" s="126"/>
      <c r="M591" s="126"/>
      <c r="N591" s="126"/>
      <c r="O591" s="126"/>
    </row>
    <row r="592" ht="15.75" customHeight="1">
      <c r="A592" s="130">
        <v>2025.0</v>
      </c>
      <c r="B592" s="130" t="s">
        <v>125</v>
      </c>
      <c r="C592" s="130" t="s">
        <v>83</v>
      </c>
      <c r="D592" s="130" t="s">
        <v>28</v>
      </c>
      <c r="E592" s="130" t="s">
        <v>126</v>
      </c>
      <c r="F592" s="130" t="s">
        <v>112</v>
      </c>
      <c r="G592" s="130" t="s">
        <v>128</v>
      </c>
      <c r="H592" s="132">
        <v>490.0</v>
      </c>
      <c r="I592" s="130" t="s">
        <v>23</v>
      </c>
      <c r="J592" s="126"/>
      <c r="K592" s="126"/>
      <c r="L592" s="126"/>
      <c r="M592" s="126"/>
      <c r="N592" s="126"/>
      <c r="O592" s="126"/>
    </row>
    <row r="593" ht="15.75" customHeight="1">
      <c r="A593" s="130">
        <v>2025.0</v>
      </c>
      <c r="B593" s="130" t="s">
        <v>125</v>
      </c>
      <c r="C593" s="130" t="s">
        <v>83</v>
      </c>
      <c r="D593" s="130" t="s">
        <v>25</v>
      </c>
      <c r="E593" s="130" t="s">
        <v>138</v>
      </c>
      <c r="F593" s="130" t="s">
        <v>112</v>
      </c>
      <c r="G593" s="130" t="s">
        <v>128</v>
      </c>
      <c r="H593" s="132">
        <v>0.0</v>
      </c>
      <c r="I593" s="130" t="s">
        <v>20</v>
      </c>
      <c r="J593" s="126"/>
      <c r="K593" s="126"/>
      <c r="L593" s="126"/>
      <c r="M593" s="126"/>
      <c r="N593" s="126"/>
      <c r="O593" s="126"/>
    </row>
    <row r="594" ht="15.75" customHeight="1">
      <c r="A594" s="130">
        <v>2025.0</v>
      </c>
      <c r="B594" s="130" t="s">
        <v>125</v>
      </c>
      <c r="C594" s="130" t="s">
        <v>83</v>
      </c>
      <c r="D594" s="130" t="s">
        <v>25</v>
      </c>
      <c r="E594" s="130" t="s">
        <v>138</v>
      </c>
      <c r="F594" s="130" t="s">
        <v>112</v>
      </c>
      <c r="G594" s="130" t="s">
        <v>128</v>
      </c>
      <c r="H594" s="132">
        <v>57.0</v>
      </c>
      <c r="I594" s="130" t="s">
        <v>21</v>
      </c>
      <c r="J594" s="126"/>
      <c r="K594" s="126"/>
      <c r="L594" s="126"/>
      <c r="M594" s="126"/>
      <c r="N594" s="126"/>
      <c r="O594" s="126"/>
    </row>
    <row r="595" ht="15.75" customHeight="1">
      <c r="A595" s="130">
        <v>2025.0</v>
      </c>
      <c r="B595" s="130" t="s">
        <v>125</v>
      </c>
      <c r="C595" s="130" t="s">
        <v>83</v>
      </c>
      <c r="D595" s="130" t="s">
        <v>26</v>
      </c>
      <c r="E595" s="130" t="s">
        <v>126</v>
      </c>
      <c r="F595" s="130" t="s">
        <v>112</v>
      </c>
      <c r="G595" s="130" t="s">
        <v>128</v>
      </c>
      <c r="H595" s="132">
        <v>10.0</v>
      </c>
      <c r="I595" s="130" t="s">
        <v>20</v>
      </c>
      <c r="J595" s="126"/>
      <c r="K595" s="126"/>
      <c r="L595" s="126"/>
      <c r="M595" s="126"/>
      <c r="N595" s="126"/>
      <c r="O595" s="126"/>
    </row>
    <row r="596" ht="15.75" customHeight="1">
      <c r="A596" s="130">
        <v>2025.0</v>
      </c>
      <c r="B596" s="130" t="s">
        <v>125</v>
      </c>
      <c r="C596" s="130" t="s">
        <v>83</v>
      </c>
      <c r="D596" s="130" t="s">
        <v>27</v>
      </c>
      <c r="E596" s="130" t="s">
        <v>138</v>
      </c>
      <c r="F596" s="130" t="s">
        <v>112</v>
      </c>
      <c r="G596" s="130" t="s">
        <v>128</v>
      </c>
      <c r="H596" s="132">
        <v>0.0</v>
      </c>
      <c r="I596" s="130" t="s">
        <v>20</v>
      </c>
      <c r="J596" s="126"/>
      <c r="K596" s="126"/>
      <c r="L596" s="126"/>
      <c r="M596" s="126"/>
      <c r="N596" s="126"/>
      <c r="O596" s="126"/>
    </row>
    <row r="597" ht="15.75" customHeight="1">
      <c r="A597" s="130">
        <v>2025.0</v>
      </c>
      <c r="B597" s="130" t="s">
        <v>125</v>
      </c>
      <c r="C597" s="130" t="s">
        <v>83</v>
      </c>
      <c r="D597" s="130" t="s">
        <v>27</v>
      </c>
      <c r="E597" s="130" t="s">
        <v>138</v>
      </c>
      <c r="F597" s="130" t="s">
        <v>112</v>
      </c>
      <c r="G597" s="130" t="s">
        <v>128</v>
      </c>
      <c r="H597" s="132">
        <v>121.0</v>
      </c>
      <c r="I597" s="130" t="s">
        <v>21</v>
      </c>
      <c r="J597" s="126"/>
      <c r="K597" s="126"/>
      <c r="L597" s="126"/>
      <c r="M597" s="126"/>
      <c r="N597" s="126"/>
      <c r="O597" s="126"/>
    </row>
    <row r="598" ht="15.75" customHeight="1">
      <c r="A598" s="130">
        <v>2025.0</v>
      </c>
      <c r="B598" s="130" t="s">
        <v>125</v>
      </c>
      <c r="C598" s="130" t="s">
        <v>83</v>
      </c>
      <c r="D598" s="130" t="s">
        <v>27</v>
      </c>
      <c r="E598" s="130" t="s">
        <v>138</v>
      </c>
      <c r="F598" s="130" t="s">
        <v>112</v>
      </c>
      <c r="G598" s="130" t="s">
        <v>128</v>
      </c>
      <c r="H598" s="132">
        <v>1450.0</v>
      </c>
      <c r="I598" s="130" t="s">
        <v>22</v>
      </c>
      <c r="J598" s="126"/>
      <c r="K598" s="126"/>
      <c r="L598" s="126"/>
      <c r="M598" s="126"/>
      <c r="N598" s="126"/>
      <c r="O598" s="126"/>
    </row>
    <row r="599" ht="15.75" customHeight="1">
      <c r="A599" s="130">
        <v>2025.0</v>
      </c>
      <c r="B599" s="130" t="s">
        <v>125</v>
      </c>
      <c r="C599" s="130" t="s">
        <v>83</v>
      </c>
      <c r="D599" s="130" t="s">
        <v>25</v>
      </c>
      <c r="E599" s="130" t="s">
        <v>138</v>
      </c>
      <c r="F599" s="130" t="s">
        <v>135</v>
      </c>
      <c r="G599" s="130" t="s">
        <v>136</v>
      </c>
      <c r="H599" s="132">
        <v>47942.0</v>
      </c>
      <c r="I599" s="130" t="s">
        <v>21</v>
      </c>
      <c r="J599" s="126"/>
      <c r="K599" s="126"/>
      <c r="L599" s="126"/>
      <c r="M599" s="126"/>
      <c r="N599" s="126"/>
      <c r="O599" s="126"/>
    </row>
    <row r="600" ht="15.75" customHeight="1">
      <c r="A600" s="130">
        <v>2025.0</v>
      </c>
      <c r="B600" s="130" t="s">
        <v>125</v>
      </c>
      <c r="C600" s="130" t="s">
        <v>83</v>
      </c>
      <c r="D600" s="130" t="s">
        <v>26</v>
      </c>
      <c r="E600" s="130" t="s">
        <v>126</v>
      </c>
      <c r="F600" s="130" t="s">
        <v>135</v>
      </c>
      <c r="G600" s="130" t="s">
        <v>136</v>
      </c>
      <c r="H600" s="132">
        <v>153.0</v>
      </c>
      <c r="I600" s="130" t="s">
        <v>20</v>
      </c>
      <c r="J600" s="126"/>
      <c r="K600" s="126"/>
      <c r="L600" s="126"/>
      <c r="M600" s="126"/>
      <c r="N600" s="126"/>
      <c r="O600" s="126"/>
    </row>
    <row r="601" ht="15.75" customHeight="1">
      <c r="A601" s="130">
        <v>2025.0</v>
      </c>
      <c r="B601" s="130" t="s">
        <v>125</v>
      </c>
      <c r="C601" s="130" t="s">
        <v>83</v>
      </c>
      <c r="D601" s="130" t="s">
        <v>27</v>
      </c>
      <c r="E601" s="130" t="s">
        <v>138</v>
      </c>
      <c r="F601" s="130" t="s">
        <v>135</v>
      </c>
      <c r="G601" s="130" t="s">
        <v>136</v>
      </c>
      <c r="H601" s="132">
        <v>121352.0</v>
      </c>
      <c r="I601" s="130" t="s">
        <v>21</v>
      </c>
      <c r="J601" s="126"/>
      <c r="K601" s="126"/>
      <c r="L601" s="126"/>
      <c r="M601" s="126"/>
      <c r="N601" s="126"/>
      <c r="O601" s="126"/>
    </row>
    <row r="602" ht="15.75" customHeight="1">
      <c r="A602" s="130">
        <v>2025.0</v>
      </c>
      <c r="B602" s="130" t="s">
        <v>125</v>
      </c>
      <c r="C602" s="130" t="s">
        <v>83</v>
      </c>
      <c r="D602" s="130" t="s">
        <v>25</v>
      </c>
      <c r="E602" s="130" t="s">
        <v>138</v>
      </c>
      <c r="F602" s="130" t="s">
        <v>134</v>
      </c>
      <c r="G602" s="130" t="s">
        <v>134</v>
      </c>
      <c r="H602" s="132">
        <v>21828.0</v>
      </c>
      <c r="I602" s="130" t="s">
        <v>21</v>
      </c>
      <c r="J602" s="126"/>
      <c r="K602" s="126"/>
      <c r="L602" s="126"/>
      <c r="M602" s="126"/>
      <c r="N602" s="126"/>
      <c r="O602" s="126"/>
    </row>
    <row r="603" ht="15.75" customHeight="1">
      <c r="A603" s="130">
        <v>2025.0</v>
      </c>
      <c r="B603" s="130" t="s">
        <v>125</v>
      </c>
      <c r="C603" s="130" t="s">
        <v>83</v>
      </c>
      <c r="D603" s="130" t="s">
        <v>26</v>
      </c>
      <c r="E603" s="130" t="s">
        <v>126</v>
      </c>
      <c r="F603" s="130" t="s">
        <v>134</v>
      </c>
      <c r="G603" s="130" t="s">
        <v>134</v>
      </c>
      <c r="H603" s="132">
        <v>133.0</v>
      </c>
      <c r="I603" s="130" t="s">
        <v>20</v>
      </c>
      <c r="J603" s="126"/>
      <c r="K603" s="126"/>
      <c r="L603" s="126"/>
      <c r="M603" s="126"/>
      <c r="N603" s="126"/>
      <c r="O603" s="126"/>
    </row>
    <row r="604" ht="15.75" customHeight="1">
      <c r="A604" s="130">
        <v>2025.0</v>
      </c>
      <c r="B604" s="130" t="s">
        <v>125</v>
      </c>
      <c r="C604" s="130" t="s">
        <v>83</v>
      </c>
      <c r="D604" s="130" t="s">
        <v>27</v>
      </c>
      <c r="E604" s="130" t="s">
        <v>138</v>
      </c>
      <c r="F604" s="130" t="s">
        <v>134</v>
      </c>
      <c r="G604" s="130" t="s">
        <v>134</v>
      </c>
      <c r="H604" s="132">
        <v>37574.0</v>
      </c>
      <c r="I604" s="130" t="s">
        <v>22</v>
      </c>
      <c r="J604" s="126"/>
      <c r="K604" s="126"/>
      <c r="L604" s="126"/>
      <c r="M604" s="126"/>
      <c r="N604" s="126"/>
      <c r="O604" s="126"/>
    </row>
    <row r="605" ht="15.75" customHeight="1">
      <c r="A605" s="130">
        <v>2025.0</v>
      </c>
      <c r="B605" s="130" t="s">
        <v>125</v>
      </c>
      <c r="C605" s="130" t="s">
        <v>83</v>
      </c>
      <c r="D605" s="130" t="s">
        <v>27</v>
      </c>
      <c r="E605" s="130" t="s">
        <v>138</v>
      </c>
      <c r="F605" s="130" t="s">
        <v>134</v>
      </c>
      <c r="G605" s="130" t="s">
        <v>134</v>
      </c>
      <c r="H605" s="132">
        <v>4000.0</v>
      </c>
      <c r="I605" s="130" t="s">
        <v>21</v>
      </c>
      <c r="J605" s="126"/>
      <c r="K605" s="126"/>
      <c r="L605" s="126"/>
      <c r="M605" s="126"/>
      <c r="N605" s="126"/>
      <c r="O605" s="126"/>
    </row>
    <row r="606" ht="15.75" customHeight="1">
      <c r="A606" s="130">
        <v>2025.0</v>
      </c>
      <c r="B606" s="130" t="s">
        <v>125</v>
      </c>
      <c r="C606" s="130" t="s">
        <v>83</v>
      </c>
      <c r="D606" s="130" t="s">
        <v>25</v>
      </c>
      <c r="E606" s="130" t="s">
        <v>138</v>
      </c>
      <c r="F606" s="130" t="s">
        <v>137</v>
      </c>
      <c r="G606" s="130" t="s">
        <v>136</v>
      </c>
      <c r="H606" s="132">
        <v>411.0</v>
      </c>
      <c r="I606" s="130" t="s">
        <v>20</v>
      </c>
      <c r="J606" s="126"/>
      <c r="K606" s="126"/>
      <c r="L606" s="126"/>
      <c r="M606" s="126"/>
      <c r="N606" s="126"/>
      <c r="O606" s="126"/>
    </row>
    <row r="607" ht="15.75" customHeight="1">
      <c r="A607" s="130">
        <v>2025.0</v>
      </c>
      <c r="B607" s="130" t="s">
        <v>125</v>
      </c>
      <c r="C607" s="130" t="s">
        <v>83</v>
      </c>
      <c r="D607" s="130" t="s">
        <v>25</v>
      </c>
      <c r="E607" s="130" t="s">
        <v>138</v>
      </c>
      <c r="F607" s="130" t="s">
        <v>137</v>
      </c>
      <c r="G607" s="130" t="s">
        <v>136</v>
      </c>
      <c r="H607" s="132">
        <v>9727.0</v>
      </c>
      <c r="I607" s="130" t="s">
        <v>21</v>
      </c>
      <c r="J607" s="126"/>
      <c r="K607" s="126"/>
      <c r="L607" s="126"/>
      <c r="M607" s="126"/>
      <c r="N607" s="126"/>
      <c r="O607" s="126"/>
    </row>
    <row r="608" ht="15.75" customHeight="1">
      <c r="A608" s="130">
        <v>2025.0</v>
      </c>
      <c r="B608" s="130" t="s">
        <v>125</v>
      </c>
      <c r="C608" s="130" t="s">
        <v>83</v>
      </c>
      <c r="D608" s="130" t="s">
        <v>26</v>
      </c>
      <c r="E608" s="130" t="s">
        <v>126</v>
      </c>
      <c r="F608" s="130" t="s">
        <v>137</v>
      </c>
      <c r="G608" s="130" t="s">
        <v>136</v>
      </c>
      <c r="H608" s="132">
        <v>71.0</v>
      </c>
      <c r="I608" s="130" t="s">
        <v>20</v>
      </c>
      <c r="J608" s="126"/>
      <c r="K608" s="126"/>
      <c r="L608" s="126"/>
      <c r="M608" s="126"/>
      <c r="N608" s="126"/>
      <c r="O608" s="126"/>
    </row>
    <row r="609" ht="15.75" customHeight="1">
      <c r="A609" s="130">
        <v>2025.0</v>
      </c>
      <c r="B609" s="130" t="s">
        <v>125</v>
      </c>
      <c r="C609" s="130" t="s">
        <v>83</v>
      </c>
      <c r="D609" s="130" t="s">
        <v>27</v>
      </c>
      <c r="E609" s="130" t="s">
        <v>138</v>
      </c>
      <c r="F609" s="130" t="s">
        <v>137</v>
      </c>
      <c r="G609" s="130" t="s">
        <v>136</v>
      </c>
      <c r="H609" s="132">
        <v>21674.0</v>
      </c>
      <c r="I609" s="130" t="s">
        <v>22</v>
      </c>
      <c r="J609" s="126"/>
      <c r="K609" s="126"/>
      <c r="L609" s="126"/>
      <c r="M609" s="126"/>
      <c r="N609" s="126"/>
      <c r="O609" s="126"/>
    </row>
    <row r="610" ht="15.75" customHeight="1">
      <c r="A610" s="130">
        <v>2025.0</v>
      </c>
      <c r="B610" s="130" t="s">
        <v>125</v>
      </c>
      <c r="C610" s="130" t="s">
        <v>83</v>
      </c>
      <c r="D610" s="130" t="s">
        <v>27</v>
      </c>
      <c r="E610" s="130" t="s">
        <v>138</v>
      </c>
      <c r="F610" s="130" t="s">
        <v>137</v>
      </c>
      <c r="G610" s="130" t="s">
        <v>136</v>
      </c>
      <c r="H610" s="132"/>
      <c r="I610" s="130" t="s">
        <v>20</v>
      </c>
      <c r="J610" s="126"/>
      <c r="K610" s="126"/>
      <c r="L610" s="126"/>
      <c r="M610" s="126"/>
      <c r="N610" s="126"/>
      <c r="O610" s="126"/>
    </row>
    <row r="611" ht="15.75" customHeight="1">
      <c r="A611" s="130">
        <v>2025.0</v>
      </c>
      <c r="B611" s="130" t="s">
        <v>125</v>
      </c>
      <c r="C611" s="130" t="s">
        <v>83</v>
      </c>
      <c r="D611" s="130" t="s">
        <v>27</v>
      </c>
      <c r="E611" s="130" t="s">
        <v>138</v>
      </c>
      <c r="F611" s="130" t="s">
        <v>137</v>
      </c>
      <c r="G611" s="130" t="s">
        <v>136</v>
      </c>
      <c r="H611" s="132">
        <v>35080.0</v>
      </c>
      <c r="I611" s="130" t="s">
        <v>21</v>
      </c>
      <c r="J611" s="126"/>
      <c r="K611" s="126"/>
      <c r="L611" s="126"/>
      <c r="M611" s="126"/>
      <c r="N611" s="126"/>
      <c r="O611" s="126"/>
    </row>
    <row r="612" ht="15.75" customHeight="1">
      <c r="A612" s="130">
        <v>2025.0</v>
      </c>
      <c r="B612" s="130" t="s">
        <v>125</v>
      </c>
      <c r="C612" s="130" t="s">
        <v>83</v>
      </c>
      <c r="D612" s="130" t="s">
        <v>28</v>
      </c>
      <c r="E612" s="130" t="s">
        <v>126</v>
      </c>
      <c r="F612" s="130" t="s">
        <v>127</v>
      </c>
      <c r="G612" s="130" t="s">
        <v>128</v>
      </c>
      <c r="H612" s="132">
        <v>5290.0</v>
      </c>
      <c r="I612" s="130" t="s">
        <v>23</v>
      </c>
      <c r="J612" s="126"/>
      <c r="K612" s="126"/>
      <c r="L612" s="126"/>
      <c r="M612" s="126"/>
      <c r="N612" s="126"/>
      <c r="O612" s="126"/>
    </row>
    <row r="613" ht="15.75" customHeight="1">
      <c r="A613" s="130">
        <v>2025.0</v>
      </c>
      <c r="B613" s="130" t="s">
        <v>125</v>
      </c>
      <c r="C613" s="130" t="s">
        <v>83</v>
      </c>
      <c r="D613" s="130" t="s">
        <v>25</v>
      </c>
      <c r="E613" s="130" t="s">
        <v>138</v>
      </c>
      <c r="F613" s="130" t="s">
        <v>127</v>
      </c>
      <c r="G613" s="130" t="s">
        <v>128</v>
      </c>
      <c r="H613" s="132">
        <v>45000.0</v>
      </c>
      <c r="I613" s="130" t="s">
        <v>20</v>
      </c>
      <c r="J613" s="126"/>
      <c r="K613" s="126"/>
      <c r="L613" s="126"/>
      <c r="M613" s="126"/>
      <c r="N613" s="126"/>
      <c r="O613" s="126"/>
    </row>
    <row r="614" ht="15.75" customHeight="1">
      <c r="A614" s="130">
        <v>2025.0</v>
      </c>
      <c r="B614" s="130" t="s">
        <v>125</v>
      </c>
      <c r="C614" s="130" t="s">
        <v>83</v>
      </c>
      <c r="D614" s="130" t="s">
        <v>26</v>
      </c>
      <c r="E614" s="130" t="s">
        <v>126</v>
      </c>
      <c r="F614" s="130" t="s">
        <v>127</v>
      </c>
      <c r="G614" s="130" t="s">
        <v>128</v>
      </c>
      <c r="H614" s="132">
        <v>9786.0</v>
      </c>
      <c r="I614" s="130" t="s">
        <v>20</v>
      </c>
      <c r="J614" s="126"/>
      <c r="K614" s="126"/>
      <c r="L614" s="126"/>
      <c r="M614" s="126"/>
      <c r="N614" s="126"/>
      <c r="O614" s="126"/>
    </row>
    <row r="615" ht="15.75" customHeight="1">
      <c r="A615" s="130">
        <v>2025.0</v>
      </c>
      <c r="B615" s="130" t="s">
        <v>125</v>
      </c>
      <c r="C615" s="130" t="s">
        <v>83</v>
      </c>
      <c r="D615" s="130" t="s">
        <v>27</v>
      </c>
      <c r="E615" s="130" t="s">
        <v>138</v>
      </c>
      <c r="F615" s="130" t="s">
        <v>127</v>
      </c>
      <c r="G615" s="130" t="s">
        <v>128</v>
      </c>
      <c r="H615" s="132">
        <v>68950.0</v>
      </c>
      <c r="I615" s="130" t="s">
        <v>20</v>
      </c>
      <c r="J615" s="126"/>
      <c r="K615" s="126"/>
      <c r="L615" s="126"/>
      <c r="M615" s="126"/>
      <c r="N615" s="126"/>
      <c r="O615" s="126"/>
    </row>
    <row r="616" ht="15.75" customHeight="1">
      <c r="A616" s="130">
        <v>2025.0</v>
      </c>
      <c r="B616" s="130" t="s">
        <v>125</v>
      </c>
      <c r="C616" s="130" t="s">
        <v>83</v>
      </c>
      <c r="D616" s="130" t="s">
        <v>27</v>
      </c>
      <c r="E616" s="130" t="s">
        <v>138</v>
      </c>
      <c r="F616" s="130" t="s">
        <v>127</v>
      </c>
      <c r="G616" s="130" t="s">
        <v>128</v>
      </c>
      <c r="H616" s="132">
        <v>66000.0</v>
      </c>
      <c r="I616" s="130" t="s">
        <v>23</v>
      </c>
      <c r="J616" s="126"/>
      <c r="K616" s="126"/>
      <c r="L616" s="126"/>
      <c r="M616" s="126"/>
      <c r="N616" s="126"/>
      <c r="O616" s="126"/>
    </row>
    <row r="617" ht="15.75" customHeight="1">
      <c r="A617" s="130">
        <v>2025.0</v>
      </c>
      <c r="B617" s="130" t="s">
        <v>129</v>
      </c>
      <c r="C617" s="130" t="s">
        <v>84</v>
      </c>
      <c r="D617" s="130" t="s">
        <v>28</v>
      </c>
      <c r="E617" s="130" t="s">
        <v>126</v>
      </c>
      <c r="F617" s="130" t="s">
        <v>112</v>
      </c>
      <c r="G617" s="130" t="s">
        <v>128</v>
      </c>
      <c r="H617" s="132">
        <v>200.0</v>
      </c>
      <c r="I617" s="130" t="s">
        <v>23</v>
      </c>
      <c r="J617" s="126"/>
      <c r="K617" s="126"/>
      <c r="L617" s="126"/>
      <c r="M617" s="126"/>
      <c r="N617" s="126"/>
      <c r="O617" s="126"/>
    </row>
    <row r="618" ht="15.75" customHeight="1">
      <c r="A618" s="130">
        <v>2025.0</v>
      </c>
      <c r="B618" s="130" t="s">
        <v>129</v>
      </c>
      <c r="C618" s="130" t="s">
        <v>84</v>
      </c>
      <c r="D618" s="130" t="s">
        <v>25</v>
      </c>
      <c r="E618" s="130" t="s">
        <v>138</v>
      </c>
      <c r="F618" s="130" t="s">
        <v>112</v>
      </c>
      <c r="G618" s="130" t="s">
        <v>128</v>
      </c>
      <c r="H618" s="132">
        <v>0.0</v>
      </c>
      <c r="I618" s="130" t="s">
        <v>20</v>
      </c>
      <c r="J618" s="126"/>
      <c r="K618" s="126"/>
      <c r="L618" s="126"/>
      <c r="M618" s="126"/>
      <c r="N618" s="126"/>
      <c r="O618" s="126"/>
    </row>
    <row r="619" ht="15.75" customHeight="1">
      <c r="A619" s="130">
        <v>2025.0</v>
      </c>
      <c r="B619" s="130" t="s">
        <v>129</v>
      </c>
      <c r="C619" s="130" t="s">
        <v>84</v>
      </c>
      <c r="D619" s="130" t="s">
        <v>25</v>
      </c>
      <c r="E619" s="130" t="s">
        <v>138</v>
      </c>
      <c r="F619" s="130" t="s">
        <v>112</v>
      </c>
      <c r="G619" s="130" t="s">
        <v>128</v>
      </c>
      <c r="H619" s="132">
        <v>106.0</v>
      </c>
      <c r="I619" s="130" t="s">
        <v>21</v>
      </c>
      <c r="J619" s="126"/>
      <c r="K619" s="126"/>
      <c r="L619" s="126"/>
      <c r="M619" s="126"/>
      <c r="N619" s="126"/>
      <c r="O619" s="126"/>
    </row>
    <row r="620" ht="15.75" customHeight="1">
      <c r="A620" s="130">
        <v>2025.0</v>
      </c>
      <c r="B620" s="130" t="s">
        <v>129</v>
      </c>
      <c r="C620" s="130" t="s">
        <v>84</v>
      </c>
      <c r="D620" s="130" t="s">
        <v>26</v>
      </c>
      <c r="E620" s="130" t="s">
        <v>126</v>
      </c>
      <c r="F620" s="130" t="s">
        <v>112</v>
      </c>
      <c r="G620" s="130" t="s">
        <v>128</v>
      </c>
      <c r="H620" s="132">
        <v>17.0</v>
      </c>
      <c r="I620" s="130" t="s">
        <v>20</v>
      </c>
      <c r="J620" s="126"/>
      <c r="K620" s="126"/>
      <c r="L620" s="126"/>
      <c r="M620" s="126"/>
      <c r="N620" s="126"/>
      <c r="O620" s="126"/>
    </row>
    <row r="621" ht="15.75" customHeight="1">
      <c r="A621" s="130">
        <v>2025.0</v>
      </c>
      <c r="B621" s="130" t="s">
        <v>129</v>
      </c>
      <c r="C621" s="130" t="s">
        <v>84</v>
      </c>
      <c r="D621" s="130" t="s">
        <v>27</v>
      </c>
      <c r="E621" s="130" t="s">
        <v>138</v>
      </c>
      <c r="F621" s="130" t="s">
        <v>112</v>
      </c>
      <c r="G621" s="130" t="s">
        <v>128</v>
      </c>
      <c r="H621" s="132">
        <v>0.0</v>
      </c>
      <c r="I621" s="130" t="s">
        <v>20</v>
      </c>
      <c r="J621" s="126"/>
      <c r="K621" s="126"/>
      <c r="L621" s="126"/>
      <c r="M621" s="126"/>
      <c r="N621" s="126"/>
      <c r="O621" s="126"/>
    </row>
    <row r="622" ht="15.75" customHeight="1">
      <c r="A622" s="130">
        <v>2025.0</v>
      </c>
      <c r="B622" s="130" t="s">
        <v>129</v>
      </c>
      <c r="C622" s="130" t="s">
        <v>84</v>
      </c>
      <c r="D622" s="130" t="s">
        <v>27</v>
      </c>
      <c r="E622" s="130" t="s">
        <v>138</v>
      </c>
      <c r="F622" s="130" t="s">
        <v>112</v>
      </c>
      <c r="G622" s="130" t="s">
        <v>128</v>
      </c>
      <c r="H622" s="132">
        <v>125.0</v>
      </c>
      <c r="I622" s="130" t="s">
        <v>21</v>
      </c>
      <c r="J622" s="126"/>
      <c r="K622" s="126"/>
      <c r="L622" s="126"/>
      <c r="M622" s="126"/>
      <c r="N622" s="126"/>
      <c r="O622" s="126"/>
    </row>
    <row r="623" ht="15.75" customHeight="1">
      <c r="A623" s="130">
        <v>2025.0</v>
      </c>
      <c r="B623" s="130" t="s">
        <v>129</v>
      </c>
      <c r="C623" s="130" t="s">
        <v>84</v>
      </c>
      <c r="D623" s="130" t="s">
        <v>27</v>
      </c>
      <c r="E623" s="130" t="s">
        <v>138</v>
      </c>
      <c r="F623" s="130" t="s">
        <v>112</v>
      </c>
      <c r="G623" s="130" t="s">
        <v>128</v>
      </c>
      <c r="H623" s="132">
        <v>1540.0</v>
      </c>
      <c r="I623" s="130" t="s">
        <v>22</v>
      </c>
      <c r="J623" s="126"/>
      <c r="K623" s="126"/>
      <c r="L623" s="126"/>
      <c r="M623" s="126"/>
      <c r="N623" s="126"/>
      <c r="O623" s="126"/>
    </row>
    <row r="624" ht="15.75" customHeight="1">
      <c r="A624" s="130">
        <v>2025.0</v>
      </c>
      <c r="B624" s="130" t="s">
        <v>129</v>
      </c>
      <c r="C624" s="130" t="s">
        <v>84</v>
      </c>
      <c r="D624" s="130" t="s">
        <v>25</v>
      </c>
      <c r="E624" s="130" t="s">
        <v>138</v>
      </c>
      <c r="F624" s="130" t="s">
        <v>135</v>
      </c>
      <c r="G624" s="130" t="s">
        <v>136</v>
      </c>
      <c r="H624" s="132">
        <v>60500.0</v>
      </c>
      <c r="I624" s="130" t="s">
        <v>21</v>
      </c>
      <c r="J624" s="126"/>
      <c r="K624" s="126"/>
      <c r="L624" s="126"/>
      <c r="M624" s="126"/>
      <c r="N624" s="126"/>
      <c r="O624" s="126"/>
    </row>
    <row r="625" ht="15.75" customHeight="1">
      <c r="A625" s="130">
        <v>2025.0</v>
      </c>
      <c r="B625" s="130" t="s">
        <v>129</v>
      </c>
      <c r="C625" s="130" t="s">
        <v>84</v>
      </c>
      <c r="D625" s="130" t="s">
        <v>26</v>
      </c>
      <c r="E625" s="130" t="s">
        <v>126</v>
      </c>
      <c r="F625" s="130" t="s">
        <v>135</v>
      </c>
      <c r="G625" s="130" t="s">
        <v>136</v>
      </c>
      <c r="H625" s="132">
        <v>205.0</v>
      </c>
      <c r="I625" s="130" t="s">
        <v>20</v>
      </c>
      <c r="J625" s="126"/>
      <c r="K625" s="126"/>
      <c r="L625" s="126"/>
      <c r="M625" s="126"/>
      <c r="N625" s="126"/>
      <c r="O625" s="126"/>
    </row>
    <row r="626" ht="15.75" customHeight="1">
      <c r="A626" s="130">
        <v>2025.0</v>
      </c>
      <c r="B626" s="130" t="s">
        <v>129</v>
      </c>
      <c r="C626" s="130" t="s">
        <v>84</v>
      </c>
      <c r="D626" s="130" t="s">
        <v>27</v>
      </c>
      <c r="E626" s="130" t="s">
        <v>138</v>
      </c>
      <c r="F626" s="130" t="s">
        <v>135</v>
      </c>
      <c r="G626" s="130" t="s">
        <v>136</v>
      </c>
      <c r="H626" s="132">
        <v>132494.0</v>
      </c>
      <c r="I626" s="130" t="s">
        <v>21</v>
      </c>
      <c r="J626" s="126"/>
      <c r="K626" s="126"/>
      <c r="L626" s="126"/>
      <c r="M626" s="126"/>
      <c r="N626" s="126"/>
      <c r="O626" s="126"/>
    </row>
    <row r="627" ht="15.75" customHeight="1">
      <c r="A627" s="130">
        <v>2025.0</v>
      </c>
      <c r="B627" s="130" t="s">
        <v>129</v>
      </c>
      <c r="C627" s="130" t="s">
        <v>84</v>
      </c>
      <c r="D627" s="130" t="s">
        <v>25</v>
      </c>
      <c r="E627" s="130" t="s">
        <v>138</v>
      </c>
      <c r="F627" s="130" t="s">
        <v>134</v>
      </c>
      <c r="G627" s="130" t="s">
        <v>134</v>
      </c>
      <c r="H627" s="132">
        <v>23407.0</v>
      </c>
      <c r="I627" s="130" t="s">
        <v>21</v>
      </c>
      <c r="J627" s="126"/>
      <c r="K627" s="126"/>
      <c r="L627" s="126"/>
      <c r="M627" s="126"/>
      <c r="N627" s="126"/>
      <c r="O627" s="126"/>
    </row>
    <row r="628" ht="15.75" customHeight="1">
      <c r="A628" s="130">
        <v>2025.0</v>
      </c>
      <c r="B628" s="130" t="s">
        <v>129</v>
      </c>
      <c r="C628" s="130" t="s">
        <v>84</v>
      </c>
      <c r="D628" s="130" t="s">
        <v>26</v>
      </c>
      <c r="E628" s="130" t="s">
        <v>126</v>
      </c>
      <c r="F628" s="130" t="s">
        <v>134</v>
      </c>
      <c r="G628" s="130" t="s">
        <v>134</v>
      </c>
      <c r="H628" s="132">
        <v>374.0</v>
      </c>
      <c r="I628" s="130" t="s">
        <v>20</v>
      </c>
      <c r="J628" s="126"/>
      <c r="K628" s="126"/>
      <c r="L628" s="126"/>
      <c r="M628" s="126"/>
      <c r="N628" s="126"/>
      <c r="O628" s="126"/>
    </row>
    <row r="629" ht="15.75" customHeight="1">
      <c r="A629" s="130">
        <v>2025.0</v>
      </c>
      <c r="B629" s="130" t="s">
        <v>129</v>
      </c>
      <c r="C629" s="130" t="s">
        <v>84</v>
      </c>
      <c r="D629" s="130" t="s">
        <v>27</v>
      </c>
      <c r="E629" s="130" t="s">
        <v>138</v>
      </c>
      <c r="F629" s="130" t="s">
        <v>134</v>
      </c>
      <c r="G629" s="130" t="s">
        <v>134</v>
      </c>
      <c r="H629" s="132">
        <v>37123.0</v>
      </c>
      <c r="I629" s="130" t="s">
        <v>22</v>
      </c>
      <c r="J629" s="126"/>
      <c r="K629" s="126"/>
      <c r="L629" s="126"/>
      <c r="M629" s="126"/>
      <c r="N629" s="126"/>
      <c r="O629" s="126"/>
    </row>
    <row r="630" ht="15.75" customHeight="1">
      <c r="A630" s="130">
        <v>2025.0</v>
      </c>
      <c r="B630" s="130" t="s">
        <v>129</v>
      </c>
      <c r="C630" s="130" t="s">
        <v>84</v>
      </c>
      <c r="D630" s="130" t="s">
        <v>27</v>
      </c>
      <c r="E630" s="130" t="s">
        <v>138</v>
      </c>
      <c r="F630" s="130" t="s">
        <v>134</v>
      </c>
      <c r="G630" s="130" t="s">
        <v>134</v>
      </c>
      <c r="H630" s="132">
        <v>4000.0</v>
      </c>
      <c r="I630" s="130" t="s">
        <v>21</v>
      </c>
      <c r="J630" s="126"/>
      <c r="K630" s="126"/>
      <c r="L630" s="126"/>
      <c r="M630" s="126"/>
      <c r="N630" s="126"/>
      <c r="O630" s="126"/>
    </row>
    <row r="631" ht="15.75" customHeight="1">
      <c r="A631" s="130">
        <v>2025.0</v>
      </c>
      <c r="B631" s="130" t="s">
        <v>129</v>
      </c>
      <c r="C631" s="130" t="s">
        <v>84</v>
      </c>
      <c r="D631" s="130" t="s">
        <v>25</v>
      </c>
      <c r="E631" s="130" t="s">
        <v>138</v>
      </c>
      <c r="F631" s="130" t="s">
        <v>137</v>
      </c>
      <c r="G631" s="130" t="s">
        <v>136</v>
      </c>
      <c r="H631" s="132">
        <v>820.0</v>
      </c>
      <c r="I631" s="130" t="s">
        <v>20</v>
      </c>
      <c r="J631" s="126"/>
      <c r="K631" s="126"/>
      <c r="L631" s="126"/>
      <c r="M631" s="126"/>
      <c r="N631" s="126"/>
      <c r="O631" s="126"/>
    </row>
    <row r="632" ht="15.75" customHeight="1">
      <c r="A632" s="130">
        <v>2025.0</v>
      </c>
      <c r="B632" s="130" t="s">
        <v>129</v>
      </c>
      <c r="C632" s="130" t="s">
        <v>84</v>
      </c>
      <c r="D632" s="130" t="s">
        <v>25</v>
      </c>
      <c r="E632" s="130" t="s">
        <v>138</v>
      </c>
      <c r="F632" s="130" t="s">
        <v>137</v>
      </c>
      <c r="G632" s="130" t="s">
        <v>136</v>
      </c>
      <c r="H632" s="132">
        <v>9422.0</v>
      </c>
      <c r="I632" s="130" t="s">
        <v>21</v>
      </c>
      <c r="J632" s="126"/>
      <c r="K632" s="126"/>
      <c r="L632" s="126"/>
      <c r="M632" s="126"/>
      <c r="N632" s="126"/>
      <c r="O632" s="126"/>
    </row>
    <row r="633" ht="15.75" customHeight="1">
      <c r="A633" s="130">
        <v>2025.0</v>
      </c>
      <c r="B633" s="130" t="s">
        <v>129</v>
      </c>
      <c r="C633" s="130" t="s">
        <v>84</v>
      </c>
      <c r="D633" s="130" t="s">
        <v>26</v>
      </c>
      <c r="E633" s="130" t="s">
        <v>126</v>
      </c>
      <c r="F633" s="130" t="s">
        <v>137</v>
      </c>
      <c r="G633" s="130" t="s">
        <v>136</v>
      </c>
      <c r="H633" s="132">
        <v>338.0</v>
      </c>
      <c r="I633" s="130" t="s">
        <v>20</v>
      </c>
      <c r="J633" s="126"/>
      <c r="K633" s="126"/>
      <c r="L633" s="126"/>
      <c r="M633" s="126"/>
      <c r="N633" s="126"/>
      <c r="O633" s="126"/>
    </row>
    <row r="634" ht="15.75" customHeight="1">
      <c r="A634" s="130">
        <v>2025.0</v>
      </c>
      <c r="B634" s="130" t="s">
        <v>129</v>
      </c>
      <c r="C634" s="130" t="s">
        <v>84</v>
      </c>
      <c r="D634" s="130" t="s">
        <v>27</v>
      </c>
      <c r="E634" s="130" t="s">
        <v>138</v>
      </c>
      <c r="F634" s="130" t="s">
        <v>137</v>
      </c>
      <c r="G634" s="130" t="s">
        <v>136</v>
      </c>
      <c r="H634" s="132">
        <v>10898.0</v>
      </c>
      <c r="I634" s="130" t="s">
        <v>22</v>
      </c>
      <c r="J634" s="126"/>
      <c r="K634" s="126"/>
      <c r="L634" s="126"/>
      <c r="M634" s="126"/>
      <c r="N634" s="126"/>
      <c r="O634" s="126"/>
    </row>
    <row r="635" ht="15.75" customHeight="1">
      <c r="A635" s="130">
        <v>2025.0</v>
      </c>
      <c r="B635" s="130" t="s">
        <v>129</v>
      </c>
      <c r="C635" s="130" t="s">
        <v>84</v>
      </c>
      <c r="D635" s="130" t="s">
        <v>27</v>
      </c>
      <c r="E635" s="130" t="s">
        <v>138</v>
      </c>
      <c r="F635" s="130" t="s">
        <v>137</v>
      </c>
      <c r="G635" s="130" t="s">
        <v>136</v>
      </c>
      <c r="H635" s="132"/>
      <c r="I635" s="130" t="s">
        <v>20</v>
      </c>
      <c r="J635" s="126"/>
      <c r="K635" s="126"/>
      <c r="L635" s="126"/>
      <c r="M635" s="126"/>
      <c r="N635" s="126"/>
      <c r="O635" s="126"/>
    </row>
    <row r="636" ht="15.75" customHeight="1">
      <c r="A636" s="130">
        <v>2025.0</v>
      </c>
      <c r="B636" s="130" t="s">
        <v>129</v>
      </c>
      <c r="C636" s="130" t="s">
        <v>84</v>
      </c>
      <c r="D636" s="130" t="s">
        <v>27</v>
      </c>
      <c r="E636" s="130" t="s">
        <v>138</v>
      </c>
      <c r="F636" s="130" t="s">
        <v>137</v>
      </c>
      <c r="G636" s="130" t="s">
        <v>136</v>
      </c>
      <c r="H636" s="132">
        <v>25887.0</v>
      </c>
      <c r="I636" s="130" t="s">
        <v>21</v>
      </c>
      <c r="J636" s="126"/>
      <c r="K636" s="126"/>
      <c r="L636" s="126"/>
      <c r="M636" s="126"/>
      <c r="N636" s="126"/>
      <c r="O636" s="126"/>
    </row>
    <row r="637" ht="15.75" customHeight="1">
      <c r="A637" s="130">
        <v>2025.0</v>
      </c>
      <c r="B637" s="130" t="s">
        <v>129</v>
      </c>
      <c r="C637" s="130" t="s">
        <v>84</v>
      </c>
      <c r="D637" s="130" t="s">
        <v>28</v>
      </c>
      <c r="E637" s="130" t="s">
        <v>126</v>
      </c>
      <c r="F637" s="130" t="s">
        <v>137</v>
      </c>
      <c r="G637" s="130" t="s">
        <v>136</v>
      </c>
      <c r="H637" s="132">
        <v>356.0</v>
      </c>
      <c r="I637" s="130" t="s">
        <v>23</v>
      </c>
      <c r="J637" s="126"/>
      <c r="K637" s="126"/>
      <c r="L637" s="126"/>
      <c r="M637" s="126"/>
      <c r="N637" s="126"/>
      <c r="O637" s="126"/>
    </row>
    <row r="638" ht="15.75" customHeight="1">
      <c r="A638" s="130">
        <v>2025.0</v>
      </c>
      <c r="B638" s="130" t="s">
        <v>129</v>
      </c>
      <c r="C638" s="130" t="s">
        <v>84</v>
      </c>
      <c r="D638" s="130" t="s">
        <v>28</v>
      </c>
      <c r="E638" s="130" t="s">
        <v>126</v>
      </c>
      <c r="F638" s="130" t="s">
        <v>127</v>
      </c>
      <c r="G638" s="130" t="s">
        <v>128</v>
      </c>
      <c r="H638" s="132">
        <v>3700.0</v>
      </c>
      <c r="I638" s="130" t="s">
        <v>23</v>
      </c>
      <c r="J638" s="126"/>
      <c r="K638" s="126"/>
      <c r="L638" s="126"/>
      <c r="M638" s="126"/>
      <c r="N638" s="126"/>
      <c r="O638" s="126"/>
    </row>
    <row r="639" ht="15.75" customHeight="1">
      <c r="A639" s="130">
        <v>2025.0</v>
      </c>
      <c r="B639" s="130" t="s">
        <v>129</v>
      </c>
      <c r="C639" s="130" t="s">
        <v>84</v>
      </c>
      <c r="D639" s="130" t="s">
        <v>25</v>
      </c>
      <c r="E639" s="130" t="s">
        <v>138</v>
      </c>
      <c r="F639" s="130" t="s">
        <v>127</v>
      </c>
      <c r="G639" s="130" t="s">
        <v>128</v>
      </c>
      <c r="H639" s="132">
        <v>22170.0</v>
      </c>
      <c r="I639" s="130" t="s">
        <v>20</v>
      </c>
      <c r="J639" s="126"/>
      <c r="K639" s="126"/>
      <c r="L639" s="126"/>
      <c r="M639" s="126"/>
      <c r="N639" s="126"/>
      <c r="O639" s="126"/>
    </row>
    <row r="640" ht="15.75" customHeight="1">
      <c r="A640" s="130">
        <v>2025.0</v>
      </c>
      <c r="B640" s="130" t="s">
        <v>129</v>
      </c>
      <c r="C640" s="130" t="s">
        <v>84</v>
      </c>
      <c r="D640" s="130" t="s">
        <v>26</v>
      </c>
      <c r="E640" s="130" t="s">
        <v>126</v>
      </c>
      <c r="F640" s="130" t="s">
        <v>127</v>
      </c>
      <c r="G640" s="130" t="s">
        <v>128</v>
      </c>
      <c r="H640" s="132">
        <v>6452.0</v>
      </c>
      <c r="I640" s="130" t="s">
        <v>20</v>
      </c>
      <c r="J640" s="126"/>
      <c r="K640" s="126"/>
      <c r="L640" s="126"/>
      <c r="M640" s="126"/>
      <c r="N640" s="126"/>
      <c r="O640" s="126"/>
    </row>
    <row r="641" ht="15.75" customHeight="1">
      <c r="A641" s="130">
        <v>2025.0</v>
      </c>
      <c r="B641" s="130" t="s">
        <v>129</v>
      </c>
      <c r="C641" s="130" t="s">
        <v>84</v>
      </c>
      <c r="D641" s="130" t="s">
        <v>27</v>
      </c>
      <c r="E641" s="130" t="s">
        <v>138</v>
      </c>
      <c r="F641" s="130" t="s">
        <v>127</v>
      </c>
      <c r="G641" s="130" t="s">
        <v>128</v>
      </c>
      <c r="H641" s="132">
        <v>39093.0</v>
      </c>
      <c r="I641" s="130" t="s">
        <v>20</v>
      </c>
      <c r="J641" s="126"/>
      <c r="K641" s="126"/>
      <c r="L641" s="126"/>
      <c r="M641" s="126"/>
      <c r="N641" s="126"/>
      <c r="O641" s="126"/>
    </row>
    <row r="642" ht="15.75" customHeight="1">
      <c r="A642" s="130">
        <v>2025.0</v>
      </c>
      <c r="B642" s="130" t="s">
        <v>129</v>
      </c>
      <c r="C642" s="130" t="s">
        <v>84</v>
      </c>
      <c r="D642" s="130" t="s">
        <v>27</v>
      </c>
      <c r="E642" s="130" t="s">
        <v>138</v>
      </c>
      <c r="F642" s="130" t="s">
        <v>127</v>
      </c>
      <c r="G642" s="130" t="s">
        <v>128</v>
      </c>
      <c r="H642" s="132">
        <v>39000.0</v>
      </c>
      <c r="I642" s="130" t="s">
        <v>23</v>
      </c>
      <c r="J642" s="126"/>
      <c r="K642" s="126"/>
      <c r="L642" s="126"/>
      <c r="M642" s="126"/>
      <c r="N642" s="126"/>
      <c r="O642" s="12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79EB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2.63"/>
    <col customWidth="1" min="9" max="12" width="13.38"/>
    <col customWidth="1" min="13" max="13" width="12.63"/>
  </cols>
  <sheetData>
    <row r="1" ht="15.75" customHeight="1">
      <c r="A1" s="130" t="s">
        <v>118</v>
      </c>
      <c r="B1" s="130" t="s">
        <v>119</v>
      </c>
      <c r="C1" s="130" t="s">
        <v>119</v>
      </c>
      <c r="D1" s="130" t="s">
        <v>120</v>
      </c>
      <c r="E1" s="130" t="s">
        <v>121</v>
      </c>
      <c r="F1" s="137" t="s">
        <v>124</v>
      </c>
      <c r="G1" s="132" t="s">
        <v>139</v>
      </c>
      <c r="H1" s="138"/>
      <c r="I1" s="138"/>
      <c r="J1" s="138"/>
      <c r="K1" s="138"/>
      <c r="L1" s="138"/>
      <c r="M1" s="139"/>
    </row>
    <row r="2" ht="16.5" customHeight="1">
      <c r="A2" s="140">
        <v>2012.0</v>
      </c>
      <c r="B2" s="137" t="s">
        <v>125</v>
      </c>
      <c r="C2" s="137" t="s">
        <v>31</v>
      </c>
      <c r="D2" s="137" t="s">
        <v>26</v>
      </c>
      <c r="E2" s="137" t="s">
        <v>126</v>
      </c>
      <c r="F2" s="137" t="s">
        <v>20</v>
      </c>
      <c r="G2" s="141">
        <v>345.0</v>
      </c>
      <c r="H2" s="138"/>
      <c r="I2" s="138"/>
      <c r="J2" s="138"/>
      <c r="K2" s="138"/>
      <c r="L2" s="138"/>
      <c r="M2" s="139"/>
    </row>
    <row r="3" ht="16.5" customHeight="1">
      <c r="A3" s="140">
        <v>2012.0</v>
      </c>
      <c r="B3" s="137" t="s">
        <v>129</v>
      </c>
      <c r="C3" s="137" t="s">
        <v>32</v>
      </c>
      <c r="D3" s="137" t="s">
        <v>26</v>
      </c>
      <c r="E3" s="137" t="s">
        <v>126</v>
      </c>
      <c r="F3" s="137" t="s">
        <v>20</v>
      </c>
      <c r="G3" s="141">
        <v>2760.0</v>
      </c>
      <c r="H3" s="138"/>
      <c r="I3" s="137"/>
      <c r="J3" s="138"/>
      <c r="K3" s="138"/>
      <c r="L3" s="138"/>
      <c r="M3" s="139"/>
    </row>
    <row r="4">
      <c r="A4" s="140">
        <v>2013.0</v>
      </c>
      <c r="B4" s="137" t="s">
        <v>132</v>
      </c>
      <c r="C4" s="137" t="s">
        <v>33</v>
      </c>
      <c r="D4" s="137" t="s">
        <v>26</v>
      </c>
      <c r="E4" s="137" t="s">
        <v>126</v>
      </c>
      <c r="F4" s="137" t="s">
        <v>20</v>
      </c>
      <c r="G4" s="141">
        <v>5050.0</v>
      </c>
      <c r="H4" s="138"/>
      <c r="I4" s="142" t="s">
        <v>130</v>
      </c>
      <c r="J4" s="143"/>
      <c r="K4" s="143"/>
      <c r="L4" s="143"/>
      <c r="M4" s="139"/>
    </row>
    <row r="5" ht="16.5" customHeight="1">
      <c r="A5" s="140">
        <v>2013.0</v>
      </c>
      <c r="B5" s="137" t="s">
        <v>133</v>
      </c>
      <c r="C5" s="137" t="s">
        <v>34</v>
      </c>
      <c r="D5" s="137" t="s">
        <v>26</v>
      </c>
      <c r="E5" s="137" t="s">
        <v>126</v>
      </c>
      <c r="F5" s="137" t="s">
        <v>20</v>
      </c>
      <c r="G5" s="141">
        <v>5450.0</v>
      </c>
      <c r="H5" s="138"/>
      <c r="I5" s="142" t="s">
        <v>131</v>
      </c>
      <c r="J5" s="143"/>
      <c r="K5" s="143"/>
      <c r="L5" s="143"/>
      <c r="M5" s="139"/>
    </row>
    <row r="6" ht="16.5" customHeight="1">
      <c r="A6" s="140">
        <v>2013.0</v>
      </c>
      <c r="B6" s="137" t="s">
        <v>125</v>
      </c>
      <c r="C6" s="137" t="s">
        <v>35</v>
      </c>
      <c r="D6" s="137" t="s">
        <v>26</v>
      </c>
      <c r="E6" s="137" t="s">
        <v>126</v>
      </c>
      <c r="F6" s="137" t="s">
        <v>20</v>
      </c>
      <c r="G6" s="141">
        <v>6100.0</v>
      </c>
      <c r="H6" s="138"/>
      <c r="I6" s="138"/>
      <c r="J6" s="138"/>
      <c r="K6" s="138"/>
      <c r="L6" s="138"/>
      <c r="M6" s="139"/>
    </row>
    <row r="7" ht="16.5" customHeight="1">
      <c r="A7" s="140">
        <v>2013.0</v>
      </c>
      <c r="B7" s="137" t="s">
        <v>129</v>
      </c>
      <c r="C7" s="137" t="s">
        <v>36</v>
      </c>
      <c r="D7" s="137" t="s">
        <v>26</v>
      </c>
      <c r="E7" s="137" t="s">
        <v>126</v>
      </c>
      <c r="F7" s="137" t="s">
        <v>20</v>
      </c>
      <c r="G7" s="141">
        <v>6587.0</v>
      </c>
      <c r="H7" s="138"/>
      <c r="I7" s="138"/>
      <c r="J7" s="138"/>
      <c r="K7" s="138"/>
      <c r="L7" s="138"/>
      <c r="M7" s="139"/>
    </row>
    <row r="8" ht="16.5" customHeight="1">
      <c r="A8" s="140">
        <v>2014.0</v>
      </c>
      <c r="B8" s="137" t="s">
        <v>132</v>
      </c>
      <c r="C8" s="137" t="s">
        <v>37</v>
      </c>
      <c r="D8" s="137" t="s">
        <v>26</v>
      </c>
      <c r="E8" s="137" t="s">
        <v>126</v>
      </c>
      <c r="F8" s="137" t="s">
        <v>20</v>
      </c>
      <c r="G8" s="141">
        <v>7535.0</v>
      </c>
      <c r="H8" s="138"/>
      <c r="I8" s="138"/>
      <c r="J8" s="138"/>
      <c r="K8" s="138"/>
      <c r="L8" s="138"/>
      <c r="M8" s="139"/>
    </row>
    <row r="9" ht="16.5" customHeight="1">
      <c r="A9" s="140">
        <v>2014.0</v>
      </c>
      <c r="B9" s="137" t="s">
        <v>133</v>
      </c>
      <c r="C9" s="137" t="s">
        <v>38</v>
      </c>
      <c r="D9" s="137" t="s">
        <v>26</v>
      </c>
      <c r="E9" s="137" t="s">
        <v>126</v>
      </c>
      <c r="F9" s="137" t="s">
        <v>20</v>
      </c>
      <c r="G9" s="141">
        <v>8763.0</v>
      </c>
      <c r="H9" s="138"/>
      <c r="I9" s="138"/>
      <c r="J9" s="138"/>
      <c r="K9" s="138"/>
      <c r="L9" s="138"/>
      <c r="M9" s="139"/>
    </row>
    <row r="10" ht="16.5" customHeight="1">
      <c r="A10" s="140">
        <v>2014.0</v>
      </c>
      <c r="B10" s="137" t="s">
        <v>125</v>
      </c>
      <c r="C10" s="137" t="s">
        <v>39</v>
      </c>
      <c r="D10" s="137" t="s">
        <v>26</v>
      </c>
      <c r="E10" s="137" t="s">
        <v>126</v>
      </c>
      <c r="F10" s="137" t="s">
        <v>20</v>
      </c>
      <c r="G10" s="141">
        <v>7200.0</v>
      </c>
      <c r="H10" s="138"/>
      <c r="I10" s="138"/>
      <c r="J10" s="138"/>
      <c r="K10" s="138"/>
      <c r="L10" s="138"/>
      <c r="M10" s="139"/>
    </row>
    <row r="11" ht="16.5" customHeight="1">
      <c r="A11" s="140">
        <v>2014.0</v>
      </c>
      <c r="B11" s="137" t="s">
        <v>129</v>
      </c>
      <c r="C11" s="137" t="s">
        <v>40</v>
      </c>
      <c r="D11" s="137" t="s">
        <v>26</v>
      </c>
      <c r="E11" s="137" t="s">
        <v>126</v>
      </c>
      <c r="F11" s="137" t="s">
        <v>20</v>
      </c>
      <c r="G11" s="141">
        <v>11627.0</v>
      </c>
      <c r="H11" s="138"/>
      <c r="I11" s="138"/>
      <c r="J11" s="138"/>
      <c r="K11" s="138"/>
      <c r="L11" s="138"/>
      <c r="M11" s="139"/>
    </row>
    <row r="12" ht="16.5" customHeight="1">
      <c r="A12" s="140">
        <v>2015.0</v>
      </c>
      <c r="B12" s="137" t="s">
        <v>132</v>
      </c>
      <c r="C12" s="137" t="s">
        <v>41</v>
      </c>
      <c r="D12" s="137" t="s">
        <v>26</v>
      </c>
      <c r="E12" s="137" t="s">
        <v>126</v>
      </c>
      <c r="F12" s="137" t="s">
        <v>20</v>
      </c>
      <c r="G12" s="141">
        <v>11160.0</v>
      </c>
      <c r="H12" s="138"/>
      <c r="I12" s="138"/>
      <c r="J12" s="138"/>
      <c r="K12" s="138"/>
      <c r="L12" s="138"/>
      <c r="M12" s="139"/>
    </row>
    <row r="13" ht="16.5" customHeight="1">
      <c r="A13" s="140">
        <v>2015.0</v>
      </c>
      <c r="B13" s="137" t="s">
        <v>133</v>
      </c>
      <c r="C13" s="137" t="s">
        <v>42</v>
      </c>
      <c r="D13" s="137" t="s">
        <v>26</v>
      </c>
      <c r="E13" s="137" t="s">
        <v>126</v>
      </c>
      <c r="F13" s="137" t="s">
        <v>20</v>
      </c>
      <c r="G13" s="141">
        <v>12807.0</v>
      </c>
      <c r="H13" s="138"/>
      <c r="I13" s="138"/>
      <c r="J13" s="138"/>
      <c r="K13" s="138"/>
      <c r="L13" s="138"/>
      <c r="M13" s="139"/>
    </row>
    <row r="14" ht="16.5" customHeight="1">
      <c r="A14" s="140">
        <v>2015.0</v>
      </c>
      <c r="B14" s="137" t="s">
        <v>125</v>
      </c>
      <c r="C14" s="137" t="s">
        <v>43</v>
      </c>
      <c r="D14" s="137" t="s">
        <v>26</v>
      </c>
      <c r="E14" s="137" t="s">
        <v>126</v>
      </c>
      <c r="F14" s="137" t="s">
        <v>20</v>
      </c>
      <c r="G14" s="141">
        <v>13091.0</v>
      </c>
      <c r="H14" s="138"/>
      <c r="I14" s="138"/>
      <c r="J14" s="138"/>
      <c r="K14" s="138"/>
      <c r="L14" s="138"/>
      <c r="M14" s="139"/>
    </row>
    <row r="15" ht="16.5" customHeight="1">
      <c r="A15" s="140">
        <v>2015.0</v>
      </c>
      <c r="B15" s="137" t="s">
        <v>129</v>
      </c>
      <c r="C15" s="137" t="s">
        <v>44</v>
      </c>
      <c r="D15" s="137" t="s">
        <v>26</v>
      </c>
      <c r="E15" s="137" t="s">
        <v>126</v>
      </c>
      <c r="F15" s="137" t="s">
        <v>20</v>
      </c>
      <c r="G15" s="141">
        <v>14037.0</v>
      </c>
      <c r="H15" s="138"/>
      <c r="I15" s="138"/>
      <c r="J15" s="138"/>
      <c r="K15" s="138"/>
      <c r="L15" s="138"/>
      <c r="M15" s="139"/>
    </row>
    <row r="16" ht="16.5" customHeight="1">
      <c r="A16" s="140">
        <v>2016.0</v>
      </c>
      <c r="B16" s="137" t="s">
        <v>132</v>
      </c>
      <c r="C16" s="137" t="s">
        <v>45</v>
      </c>
      <c r="D16" s="137" t="s">
        <v>26</v>
      </c>
      <c r="E16" s="137" t="s">
        <v>126</v>
      </c>
      <c r="F16" s="137" t="s">
        <v>20</v>
      </c>
      <c r="G16" s="141">
        <v>15510.0</v>
      </c>
      <c r="H16" s="138"/>
      <c r="I16" s="138"/>
      <c r="J16" s="138"/>
      <c r="K16" s="138"/>
      <c r="L16" s="138"/>
      <c r="M16" s="139"/>
    </row>
    <row r="17" ht="16.5" customHeight="1">
      <c r="A17" s="140">
        <v>2016.0</v>
      </c>
      <c r="B17" s="137" t="s">
        <v>133</v>
      </c>
      <c r="C17" s="137" t="s">
        <v>46</v>
      </c>
      <c r="D17" s="137" t="s">
        <v>26</v>
      </c>
      <c r="E17" s="137" t="s">
        <v>126</v>
      </c>
      <c r="F17" s="137" t="s">
        <v>20</v>
      </c>
      <c r="G17" s="141">
        <v>18345.0</v>
      </c>
      <c r="H17" s="138"/>
      <c r="I17" s="138"/>
      <c r="J17" s="138"/>
      <c r="K17" s="138"/>
      <c r="L17" s="138"/>
      <c r="M17" s="139"/>
    </row>
    <row r="18" ht="16.5" customHeight="1">
      <c r="A18" s="140">
        <v>2016.0</v>
      </c>
      <c r="B18" s="137" t="s">
        <v>125</v>
      </c>
      <c r="C18" s="137" t="s">
        <v>47</v>
      </c>
      <c r="D18" s="137" t="s">
        <v>26</v>
      </c>
      <c r="E18" s="137" t="s">
        <v>126</v>
      </c>
      <c r="F18" s="137" t="s">
        <v>20</v>
      </c>
      <c r="G18" s="141">
        <v>25185.0</v>
      </c>
      <c r="H18" s="138"/>
      <c r="I18" s="138"/>
      <c r="J18" s="138"/>
      <c r="K18" s="138"/>
      <c r="L18" s="138"/>
      <c r="M18" s="139"/>
    </row>
    <row r="19" ht="16.5" customHeight="1">
      <c r="A19" s="140">
        <v>2016.0</v>
      </c>
      <c r="B19" s="137" t="s">
        <v>129</v>
      </c>
      <c r="C19" s="137" t="s">
        <v>48</v>
      </c>
      <c r="D19" s="137" t="s">
        <v>26</v>
      </c>
      <c r="E19" s="137" t="s">
        <v>126</v>
      </c>
      <c r="F19" s="137" t="s">
        <v>20</v>
      </c>
      <c r="G19" s="141">
        <v>24882.0</v>
      </c>
      <c r="H19" s="138"/>
      <c r="I19" s="138"/>
      <c r="J19" s="138"/>
      <c r="K19" s="138"/>
      <c r="L19" s="138"/>
      <c r="M19" s="139"/>
    </row>
    <row r="20" ht="16.5" customHeight="1">
      <c r="A20" s="140">
        <v>2017.0</v>
      </c>
      <c r="B20" s="137" t="s">
        <v>132</v>
      </c>
      <c r="C20" s="137" t="s">
        <v>49</v>
      </c>
      <c r="D20" s="137" t="s">
        <v>26</v>
      </c>
      <c r="E20" s="137" t="s">
        <v>126</v>
      </c>
      <c r="F20" s="137" t="s">
        <v>20</v>
      </c>
      <c r="G20" s="141">
        <v>25418.0</v>
      </c>
      <c r="H20" s="138"/>
      <c r="I20" s="138"/>
      <c r="J20" s="138"/>
      <c r="K20" s="138"/>
      <c r="L20" s="138"/>
      <c r="M20" s="139"/>
    </row>
    <row r="21" ht="16.5" customHeight="1">
      <c r="A21" s="140">
        <v>2017.0</v>
      </c>
      <c r="B21" s="137" t="s">
        <v>133</v>
      </c>
      <c r="C21" s="137" t="s">
        <v>50</v>
      </c>
      <c r="D21" s="137" t="s">
        <v>26</v>
      </c>
      <c r="E21" s="137" t="s">
        <v>126</v>
      </c>
      <c r="F21" s="137" t="s">
        <v>20</v>
      </c>
      <c r="G21" s="141">
        <v>25708.0</v>
      </c>
      <c r="H21" s="138"/>
      <c r="I21" s="138"/>
      <c r="J21" s="138"/>
      <c r="K21" s="138"/>
      <c r="L21" s="138"/>
      <c r="M21" s="139"/>
    </row>
    <row r="22" ht="16.5" customHeight="1">
      <c r="A22" s="140">
        <v>2017.0</v>
      </c>
      <c r="B22" s="137" t="s">
        <v>125</v>
      </c>
      <c r="C22" s="137" t="s">
        <v>51</v>
      </c>
      <c r="D22" s="137" t="s">
        <v>26</v>
      </c>
      <c r="E22" s="137" t="s">
        <v>126</v>
      </c>
      <c r="F22" s="137" t="s">
        <v>20</v>
      </c>
      <c r="G22" s="141">
        <v>25076.0</v>
      </c>
      <c r="H22" s="138"/>
      <c r="I22" s="138"/>
      <c r="J22" s="138"/>
      <c r="K22" s="138"/>
      <c r="L22" s="138"/>
      <c r="M22" s="139"/>
    </row>
    <row r="23" ht="16.5" customHeight="1">
      <c r="A23" s="140">
        <v>2017.0</v>
      </c>
      <c r="B23" s="137" t="s">
        <v>125</v>
      </c>
      <c r="C23" s="137" t="s">
        <v>51</v>
      </c>
      <c r="D23" s="137" t="s">
        <v>25</v>
      </c>
      <c r="E23" s="137" t="s">
        <v>138</v>
      </c>
      <c r="F23" s="137" t="s">
        <v>20</v>
      </c>
      <c r="G23" s="141">
        <v>260.0</v>
      </c>
      <c r="H23" s="138"/>
      <c r="I23" s="138"/>
      <c r="J23" s="138"/>
      <c r="K23" s="138"/>
      <c r="L23" s="138"/>
      <c r="M23" s="139"/>
    </row>
    <row r="24" ht="16.5" customHeight="1">
      <c r="A24" s="140">
        <v>2017.0</v>
      </c>
      <c r="B24" s="137" t="s">
        <v>129</v>
      </c>
      <c r="C24" s="137" t="s">
        <v>52</v>
      </c>
      <c r="D24" s="137" t="s">
        <v>26</v>
      </c>
      <c r="E24" s="137" t="s">
        <v>126</v>
      </c>
      <c r="F24" s="137" t="s">
        <v>20</v>
      </c>
      <c r="G24" s="141">
        <v>22140.0</v>
      </c>
      <c r="H24" s="138"/>
      <c r="I24" s="138"/>
      <c r="J24" s="138"/>
      <c r="K24" s="138"/>
      <c r="L24" s="138"/>
      <c r="M24" s="139"/>
    </row>
    <row r="25" ht="16.5" customHeight="1">
      <c r="A25" s="140">
        <v>2017.0</v>
      </c>
      <c r="B25" s="137" t="s">
        <v>129</v>
      </c>
      <c r="C25" s="137" t="s">
        <v>52</v>
      </c>
      <c r="D25" s="137" t="s">
        <v>25</v>
      </c>
      <c r="E25" s="137" t="s">
        <v>138</v>
      </c>
      <c r="F25" s="137" t="s">
        <v>20</v>
      </c>
      <c r="G25" s="141">
        <v>2425.0</v>
      </c>
      <c r="H25" s="138"/>
      <c r="I25" s="138"/>
      <c r="J25" s="138"/>
      <c r="K25" s="138"/>
      <c r="L25" s="138"/>
      <c r="M25" s="139"/>
    </row>
    <row r="26" ht="16.5" customHeight="1">
      <c r="A26" s="140">
        <v>2018.0</v>
      </c>
      <c r="B26" s="137" t="s">
        <v>132</v>
      </c>
      <c r="C26" s="137" t="s">
        <v>53</v>
      </c>
      <c r="D26" s="137" t="s">
        <v>26</v>
      </c>
      <c r="E26" s="137" t="s">
        <v>126</v>
      </c>
      <c r="F26" s="137" t="s">
        <v>20</v>
      </c>
      <c r="G26" s="141">
        <v>24728.0</v>
      </c>
      <c r="H26" s="138"/>
      <c r="I26" s="138"/>
      <c r="J26" s="138"/>
      <c r="K26" s="138"/>
      <c r="L26" s="138"/>
      <c r="M26" s="139"/>
    </row>
    <row r="27" ht="16.5" customHeight="1">
      <c r="A27" s="140">
        <v>2018.0</v>
      </c>
      <c r="B27" s="137" t="s">
        <v>132</v>
      </c>
      <c r="C27" s="137" t="s">
        <v>53</v>
      </c>
      <c r="D27" s="137" t="s">
        <v>25</v>
      </c>
      <c r="E27" s="137" t="s">
        <v>138</v>
      </c>
      <c r="F27" s="137" t="s">
        <v>20</v>
      </c>
      <c r="G27" s="141">
        <v>9766.0</v>
      </c>
      <c r="H27" s="138"/>
      <c r="I27" s="138"/>
      <c r="J27" s="138"/>
      <c r="K27" s="138"/>
      <c r="L27" s="138"/>
      <c r="M27" s="139"/>
    </row>
    <row r="28" ht="16.5" customHeight="1">
      <c r="A28" s="140">
        <v>2018.0</v>
      </c>
      <c r="B28" s="137" t="s">
        <v>133</v>
      </c>
      <c r="C28" s="137" t="s">
        <v>54</v>
      </c>
      <c r="D28" s="137" t="s">
        <v>26</v>
      </c>
      <c r="E28" s="137" t="s">
        <v>126</v>
      </c>
      <c r="F28" s="137" t="s">
        <v>20</v>
      </c>
      <c r="G28" s="141">
        <v>24761.0</v>
      </c>
      <c r="H28" s="138"/>
      <c r="I28" s="138"/>
      <c r="J28" s="138"/>
      <c r="K28" s="138"/>
      <c r="L28" s="138"/>
      <c r="M28" s="139"/>
    </row>
    <row r="29" ht="16.5" customHeight="1">
      <c r="A29" s="140">
        <v>2018.0</v>
      </c>
      <c r="B29" s="137" t="s">
        <v>133</v>
      </c>
      <c r="C29" s="137" t="s">
        <v>54</v>
      </c>
      <c r="D29" s="137" t="s">
        <v>25</v>
      </c>
      <c r="E29" s="137" t="s">
        <v>138</v>
      </c>
      <c r="F29" s="137" t="s">
        <v>20</v>
      </c>
      <c r="G29" s="141">
        <v>28578.0</v>
      </c>
      <c r="H29" s="138"/>
      <c r="I29" s="138"/>
      <c r="J29" s="138"/>
      <c r="K29" s="138"/>
      <c r="L29" s="138"/>
      <c r="M29" s="139"/>
    </row>
    <row r="30" ht="16.5" customHeight="1">
      <c r="A30" s="140">
        <v>2018.0</v>
      </c>
      <c r="B30" s="137" t="s">
        <v>125</v>
      </c>
      <c r="C30" s="137" t="s">
        <v>55</v>
      </c>
      <c r="D30" s="137" t="s">
        <v>26</v>
      </c>
      <c r="E30" s="137" t="s">
        <v>126</v>
      </c>
      <c r="F30" s="137" t="s">
        <v>20</v>
      </c>
      <c r="G30" s="141">
        <v>26903.0</v>
      </c>
      <c r="H30" s="138"/>
      <c r="I30" s="138"/>
      <c r="J30" s="138"/>
      <c r="K30" s="138"/>
      <c r="L30" s="138"/>
      <c r="M30" s="139"/>
    </row>
    <row r="31" ht="16.5" customHeight="1">
      <c r="A31" s="140">
        <v>2018.0</v>
      </c>
      <c r="B31" s="137" t="s">
        <v>125</v>
      </c>
      <c r="C31" s="137" t="s">
        <v>55</v>
      </c>
      <c r="D31" s="137" t="s">
        <v>25</v>
      </c>
      <c r="E31" s="137" t="s">
        <v>138</v>
      </c>
      <c r="F31" s="137" t="s">
        <v>20</v>
      </c>
      <c r="G31" s="141">
        <v>53239.0</v>
      </c>
      <c r="H31" s="138"/>
      <c r="I31" s="138"/>
      <c r="J31" s="138"/>
      <c r="K31" s="138"/>
      <c r="L31" s="138"/>
      <c r="M31" s="139"/>
    </row>
    <row r="32" ht="16.5" customHeight="1">
      <c r="A32" s="140">
        <v>2018.0</v>
      </c>
      <c r="B32" s="137" t="s">
        <v>129</v>
      </c>
      <c r="C32" s="137" t="s">
        <v>56</v>
      </c>
      <c r="D32" s="137" t="s">
        <v>26</v>
      </c>
      <c r="E32" s="137" t="s">
        <v>126</v>
      </c>
      <c r="F32" s="137" t="s">
        <v>20</v>
      </c>
      <c r="G32" s="141">
        <v>25161.0</v>
      </c>
      <c r="H32" s="138"/>
      <c r="I32" s="138"/>
      <c r="J32" s="138"/>
      <c r="K32" s="138"/>
      <c r="L32" s="138"/>
      <c r="M32" s="139"/>
    </row>
    <row r="33" ht="16.5" customHeight="1">
      <c r="A33" s="140">
        <v>2018.0</v>
      </c>
      <c r="B33" s="137" t="s">
        <v>129</v>
      </c>
      <c r="C33" s="137" t="s">
        <v>56</v>
      </c>
      <c r="D33" s="137" t="s">
        <v>25</v>
      </c>
      <c r="E33" s="137" t="s">
        <v>138</v>
      </c>
      <c r="F33" s="137" t="s">
        <v>20</v>
      </c>
      <c r="G33" s="141">
        <v>61394.0</v>
      </c>
      <c r="H33" s="138"/>
      <c r="I33" s="138"/>
      <c r="J33" s="138"/>
      <c r="K33" s="138"/>
      <c r="L33" s="138"/>
      <c r="M33" s="139"/>
    </row>
    <row r="34" ht="16.5" customHeight="1">
      <c r="A34" s="140">
        <v>2019.0</v>
      </c>
      <c r="B34" s="137" t="s">
        <v>132</v>
      </c>
      <c r="C34" s="137" t="s">
        <v>57</v>
      </c>
      <c r="D34" s="137" t="s">
        <v>26</v>
      </c>
      <c r="E34" s="137" t="s">
        <v>126</v>
      </c>
      <c r="F34" s="137" t="s">
        <v>20</v>
      </c>
      <c r="G34" s="141">
        <v>14163.0</v>
      </c>
      <c r="H34" s="138"/>
      <c r="I34" s="138"/>
      <c r="J34" s="138"/>
      <c r="K34" s="138"/>
      <c r="L34" s="138"/>
      <c r="M34" s="139"/>
    </row>
    <row r="35" ht="16.5" customHeight="1">
      <c r="A35" s="140">
        <v>2019.0</v>
      </c>
      <c r="B35" s="137" t="s">
        <v>132</v>
      </c>
      <c r="C35" s="137" t="s">
        <v>57</v>
      </c>
      <c r="D35" s="137" t="s">
        <v>25</v>
      </c>
      <c r="E35" s="137" t="s">
        <v>138</v>
      </c>
      <c r="F35" s="137" t="s">
        <v>20</v>
      </c>
      <c r="G35" s="141">
        <v>62975.0</v>
      </c>
      <c r="H35" s="138"/>
      <c r="I35" s="138"/>
      <c r="J35" s="138"/>
      <c r="K35" s="138"/>
      <c r="L35" s="138"/>
      <c r="M35" s="139"/>
    </row>
    <row r="36" ht="16.5" customHeight="1">
      <c r="A36" s="140">
        <v>2019.0</v>
      </c>
      <c r="B36" s="137" t="s">
        <v>133</v>
      </c>
      <c r="C36" s="137" t="s">
        <v>58</v>
      </c>
      <c r="D36" s="137" t="s">
        <v>26</v>
      </c>
      <c r="E36" s="137" t="s">
        <v>126</v>
      </c>
      <c r="F36" s="137" t="s">
        <v>20</v>
      </c>
      <c r="G36" s="141">
        <v>14517.0</v>
      </c>
      <c r="H36" s="138"/>
      <c r="I36" s="138"/>
      <c r="J36" s="138"/>
      <c r="K36" s="138"/>
      <c r="L36" s="138"/>
      <c r="M36" s="139"/>
    </row>
    <row r="37" ht="16.5" customHeight="1">
      <c r="A37" s="140">
        <v>2019.0</v>
      </c>
      <c r="B37" s="137" t="s">
        <v>133</v>
      </c>
      <c r="C37" s="137" t="s">
        <v>58</v>
      </c>
      <c r="D37" s="137" t="s">
        <v>25</v>
      </c>
      <c r="E37" s="137" t="s">
        <v>138</v>
      </c>
      <c r="F37" s="137" t="s">
        <v>20</v>
      </c>
      <c r="G37" s="141">
        <v>72531.0</v>
      </c>
      <c r="H37" s="138"/>
      <c r="I37" s="138"/>
      <c r="J37" s="138"/>
      <c r="K37" s="138"/>
      <c r="L37" s="138"/>
      <c r="M37" s="139"/>
    </row>
    <row r="38" ht="16.5" customHeight="1">
      <c r="A38" s="140">
        <v>2019.0</v>
      </c>
      <c r="B38" s="137" t="s">
        <v>125</v>
      </c>
      <c r="C38" s="137" t="s">
        <v>59</v>
      </c>
      <c r="D38" s="137" t="s">
        <v>26</v>
      </c>
      <c r="E38" s="137" t="s">
        <v>126</v>
      </c>
      <c r="F38" s="137" t="s">
        <v>20</v>
      </c>
      <c r="G38" s="141">
        <v>16318.0</v>
      </c>
      <c r="H38" s="138"/>
      <c r="I38" s="138"/>
      <c r="J38" s="138"/>
      <c r="K38" s="138"/>
      <c r="L38" s="138"/>
      <c r="M38" s="139"/>
    </row>
    <row r="39" ht="16.5" customHeight="1">
      <c r="A39" s="140">
        <v>2019.0</v>
      </c>
      <c r="B39" s="137" t="s">
        <v>125</v>
      </c>
      <c r="C39" s="137" t="s">
        <v>59</v>
      </c>
      <c r="D39" s="137" t="s">
        <v>25</v>
      </c>
      <c r="E39" s="137" t="s">
        <v>138</v>
      </c>
      <c r="F39" s="137" t="s">
        <v>20</v>
      </c>
      <c r="G39" s="141">
        <v>79837.0</v>
      </c>
      <c r="H39" s="138"/>
      <c r="I39" s="138"/>
      <c r="J39" s="138"/>
      <c r="K39" s="138"/>
      <c r="L39" s="138"/>
      <c r="M39" s="139"/>
    </row>
    <row r="40" ht="16.5" customHeight="1">
      <c r="A40" s="140">
        <v>2019.0</v>
      </c>
      <c r="B40" s="137" t="s">
        <v>129</v>
      </c>
      <c r="C40" s="137" t="s">
        <v>60</v>
      </c>
      <c r="D40" s="137" t="s">
        <v>26</v>
      </c>
      <c r="E40" s="137" t="s">
        <v>126</v>
      </c>
      <c r="F40" s="137" t="s">
        <v>20</v>
      </c>
      <c r="G40" s="141">
        <v>17933.0</v>
      </c>
      <c r="H40" s="138"/>
      <c r="I40" s="138"/>
      <c r="J40" s="138"/>
      <c r="K40" s="138"/>
      <c r="L40" s="138"/>
      <c r="M40" s="139"/>
    </row>
    <row r="41" ht="16.5" customHeight="1">
      <c r="A41" s="140">
        <v>2019.0</v>
      </c>
      <c r="B41" s="137" t="s">
        <v>129</v>
      </c>
      <c r="C41" s="137" t="s">
        <v>60</v>
      </c>
      <c r="D41" s="137" t="s">
        <v>25</v>
      </c>
      <c r="E41" s="137" t="s">
        <v>138</v>
      </c>
      <c r="F41" s="137" t="s">
        <v>20</v>
      </c>
      <c r="G41" s="141">
        <v>86958.0</v>
      </c>
      <c r="H41" s="138"/>
      <c r="I41" s="138"/>
      <c r="J41" s="138"/>
      <c r="K41" s="138"/>
      <c r="L41" s="138"/>
      <c r="M41" s="144"/>
    </row>
    <row r="42" ht="16.5" customHeight="1">
      <c r="A42" s="140">
        <v>2020.0</v>
      </c>
      <c r="B42" s="137" t="s">
        <v>132</v>
      </c>
      <c r="C42" s="137" t="s">
        <v>61</v>
      </c>
      <c r="D42" s="137" t="s">
        <v>26</v>
      </c>
      <c r="E42" s="137" t="s">
        <v>126</v>
      </c>
      <c r="F42" s="137" t="s">
        <v>20</v>
      </c>
      <c r="G42" s="141">
        <v>15390.0</v>
      </c>
      <c r="H42" s="138"/>
      <c r="I42" s="138"/>
      <c r="J42" s="138"/>
      <c r="K42" s="138"/>
      <c r="L42" s="138"/>
      <c r="M42" s="144"/>
    </row>
    <row r="43" ht="16.5" customHeight="1">
      <c r="A43" s="140">
        <v>2020.0</v>
      </c>
      <c r="B43" s="137" t="s">
        <v>132</v>
      </c>
      <c r="C43" s="137" t="s">
        <v>61</v>
      </c>
      <c r="D43" s="137" t="s">
        <v>25</v>
      </c>
      <c r="E43" s="137" t="s">
        <v>138</v>
      </c>
      <c r="F43" s="137" t="s">
        <v>21</v>
      </c>
      <c r="G43" s="141">
        <v>16681.0</v>
      </c>
      <c r="H43" s="138"/>
      <c r="I43" s="138"/>
      <c r="J43" s="138"/>
      <c r="K43" s="138"/>
      <c r="L43" s="138"/>
      <c r="M43" s="144"/>
    </row>
    <row r="44" ht="16.5" customHeight="1">
      <c r="A44" s="140">
        <v>2020.0</v>
      </c>
      <c r="B44" s="137" t="s">
        <v>132</v>
      </c>
      <c r="C44" s="137" t="s">
        <v>61</v>
      </c>
      <c r="D44" s="137" t="s">
        <v>27</v>
      </c>
      <c r="E44" s="137" t="s">
        <v>138</v>
      </c>
      <c r="F44" s="137" t="s">
        <v>20</v>
      </c>
      <c r="G44" s="141">
        <v>2750.0</v>
      </c>
      <c r="H44" s="138"/>
      <c r="I44" s="138"/>
      <c r="J44" s="138"/>
      <c r="K44" s="138"/>
      <c r="L44" s="138"/>
      <c r="M44" s="144"/>
    </row>
    <row r="45" ht="16.5" customHeight="1">
      <c r="A45" s="140">
        <v>2020.0</v>
      </c>
      <c r="B45" s="137" t="s">
        <v>132</v>
      </c>
      <c r="C45" s="137" t="s">
        <v>61</v>
      </c>
      <c r="D45" s="137" t="s">
        <v>25</v>
      </c>
      <c r="E45" s="137" t="s">
        <v>138</v>
      </c>
      <c r="F45" s="137" t="s">
        <v>20</v>
      </c>
      <c r="G45" s="141">
        <v>67851.0</v>
      </c>
      <c r="H45" s="138"/>
      <c r="I45" s="138"/>
      <c r="J45" s="138"/>
      <c r="K45" s="138"/>
      <c r="L45" s="138"/>
      <c r="M45" s="139"/>
    </row>
    <row r="46" ht="16.5" customHeight="1">
      <c r="A46" s="140">
        <v>2020.0</v>
      </c>
      <c r="B46" s="137" t="s">
        <v>133</v>
      </c>
      <c r="C46" s="137" t="s">
        <v>62</v>
      </c>
      <c r="D46" s="137" t="s">
        <v>26</v>
      </c>
      <c r="E46" s="137" t="s">
        <v>126</v>
      </c>
      <c r="F46" s="137" t="s">
        <v>20</v>
      </c>
      <c r="G46" s="141">
        <v>6326.0</v>
      </c>
      <c r="H46" s="138"/>
      <c r="I46" s="138"/>
      <c r="J46" s="138"/>
      <c r="K46" s="138"/>
      <c r="L46" s="138"/>
      <c r="M46" s="139"/>
    </row>
    <row r="47" ht="16.5" customHeight="1">
      <c r="A47" s="140">
        <v>2020.0</v>
      </c>
      <c r="B47" s="137" t="s">
        <v>133</v>
      </c>
      <c r="C47" s="137" t="s">
        <v>62</v>
      </c>
      <c r="D47" s="137" t="s">
        <v>25</v>
      </c>
      <c r="E47" s="137" t="s">
        <v>138</v>
      </c>
      <c r="F47" s="137" t="s">
        <v>21</v>
      </c>
      <c r="G47" s="141">
        <v>33118.0</v>
      </c>
      <c r="H47" s="138"/>
      <c r="I47" s="138"/>
      <c r="J47" s="138"/>
      <c r="K47" s="138"/>
      <c r="L47" s="138"/>
      <c r="M47" s="139"/>
    </row>
    <row r="48" ht="16.5" customHeight="1">
      <c r="A48" s="140">
        <v>2020.0</v>
      </c>
      <c r="B48" s="137" t="s">
        <v>133</v>
      </c>
      <c r="C48" s="137" t="s">
        <v>62</v>
      </c>
      <c r="D48" s="137" t="s">
        <v>27</v>
      </c>
      <c r="E48" s="137" t="s">
        <v>138</v>
      </c>
      <c r="F48" s="137" t="s">
        <v>20</v>
      </c>
      <c r="G48" s="141">
        <v>13277.0</v>
      </c>
      <c r="H48" s="138"/>
      <c r="I48" s="138"/>
      <c r="J48" s="138"/>
      <c r="K48" s="138"/>
      <c r="L48" s="138"/>
      <c r="M48" s="139"/>
    </row>
    <row r="49" ht="16.5" customHeight="1">
      <c r="A49" s="140">
        <v>2020.0</v>
      </c>
      <c r="B49" s="137" t="s">
        <v>133</v>
      </c>
      <c r="C49" s="137" t="s">
        <v>62</v>
      </c>
      <c r="D49" s="137" t="s">
        <v>25</v>
      </c>
      <c r="E49" s="137" t="s">
        <v>138</v>
      </c>
      <c r="F49" s="137" t="s">
        <v>20</v>
      </c>
      <c r="G49" s="141">
        <v>29551.0</v>
      </c>
      <c r="H49" s="138"/>
      <c r="I49" s="138"/>
      <c r="J49" s="138"/>
      <c r="K49" s="138"/>
      <c r="L49" s="138"/>
      <c r="M49" s="139"/>
    </row>
    <row r="50" ht="16.5" customHeight="1">
      <c r="A50" s="140">
        <v>2020.0</v>
      </c>
      <c r="B50" s="137" t="s">
        <v>125</v>
      </c>
      <c r="C50" s="137" t="s">
        <v>63</v>
      </c>
      <c r="D50" s="137" t="s">
        <v>26</v>
      </c>
      <c r="E50" s="137" t="s">
        <v>126</v>
      </c>
      <c r="F50" s="137" t="s">
        <v>20</v>
      </c>
      <c r="G50" s="141">
        <v>16992.0</v>
      </c>
      <c r="H50" s="138"/>
      <c r="I50" s="138"/>
      <c r="J50" s="138"/>
      <c r="K50" s="138"/>
      <c r="L50" s="138"/>
      <c r="M50" s="139"/>
    </row>
    <row r="51" ht="16.5" customHeight="1">
      <c r="A51" s="140">
        <v>2020.0</v>
      </c>
      <c r="B51" s="137" t="s">
        <v>125</v>
      </c>
      <c r="C51" s="137" t="s">
        <v>63</v>
      </c>
      <c r="D51" s="137" t="s">
        <v>25</v>
      </c>
      <c r="E51" s="137" t="s">
        <v>138</v>
      </c>
      <c r="F51" s="137" t="s">
        <v>21</v>
      </c>
      <c r="G51" s="141">
        <v>37497.0</v>
      </c>
      <c r="H51" s="138"/>
      <c r="I51" s="138"/>
      <c r="J51" s="138"/>
      <c r="K51" s="138"/>
      <c r="L51" s="138"/>
      <c r="M51" s="139"/>
    </row>
    <row r="52" ht="16.5" customHeight="1">
      <c r="A52" s="140">
        <v>2020.0</v>
      </c>
      <c r="B52" s="137" t="s">
        <v>125</v>
      </c>
      <c r="C52" s="137" t="s">
        <v>63</v>
      </c>
      <c r="D52" s="137" t="s">
        <v>27</v>
      </c>
      <c r="E52" s="137" t="s">
        <v>138</v>
      </c>
      <c r="F52" s="137" t="s">
        <v>20</v>
      </c>
      <c r="G52" s="141">
        <v>32318.0</v>
      </c>
      <c r="H52" s="138"/>
      <c r="I52" s="138"/>
      <c r="J52" s="138"/>
      <c r="K52" s="138"/>
      <c r="L52" s="138"/>
      <c r="M52" s="139"/>
    </row>
    <row r="53" ht="16.5" customHeight="1">
      <c r="A53" s="140">
        <v>2020.0</v>
      </c>
      <c r="B53" s="137" t="s">
        <v>125</v>
      </c>
      <c r="C53" s="137" t="s">
        <v>63</v>
      </c>
      <c r="D53" s="137" t="s">
        <v>25</v>
      </c>
      <c r="E53" s="137" t="s">
        <v>138</v>
      </c>
      <c r="F53" s="137" t="s">
        <v>20</v>
      </c>
      <c r="G53" s="141">
        <v>58229.0</v>
      </c>
      <c r="H53" s="138"/>
      <c r="I53" s="138"/>
      <c r="J53" s="138"/>
      <c r="K53" s="138"/>
      <c r="L53" s="138"/>
      <c r="M53" s="139"/>
    </row>
    <row r="54" ht="16.5" customHeight="1">
      <c r="A54" s="140">
        <v>2020.0</v>
      </c>
      <c r="B54" s="137" t="s">
        <v>129</v>
      </c>
      <c r="C54" s="137" t="s">
        <v>64</v>
      </c>
      <c r="D54" s="137" t="s">
        <v>26</v>
      </c>
      <c r="E54" s="137" t="s">
        <v>126</v>
      </c>
      <c r="F54" s="137" t="s">
        <v>20</v>
      </c>
      <c r="G54" s="141">
        <v>16097.0</v>
      </c>
      <c r="H54" s="138"/>
      <c r="I54" s="138"/>
      <c r="J54" s="138"/>
      <c r="K54" s="138"/>
      <c r="L54" s="138"/>
      <c r="M54" s="139"/>
    </row>
    <row r="55" ht="16.5" customHeight="1">
      <c r="A55" s="140">
        <v>2020.0</v>
      </c>
      <c r="B55" s="137" t="s">
        <v>129</v>
      </c>
      <c r="C55" s="137" t="s">
        <v>64</v>
      </c>
      <c r="D55" s="137" t="s">
        <v>25</v>
      </c>
      <c r="E55" s="137" t="s">
        <v>138</v>
      </c>
      <c r="F55" s="137" t="s">
        <v>21</v>
      </c>
      <c r="G55" s="141">
        <v>67036.0</v>
      </c>
      <c r="H55" s="138"/>
      <c r="I55" s="138"/>
      <c r="J55" s="138"/>
      <c r="K55" s="138"/>
      <c r="L55" s="138"/>
      <c r="M55" s="139"/>
    </row>
    <row r="56" ht="16.5" customHeight="1">
      <c r="A56" s="140">
        <v>2020.0</v>
      </c>
      <c r="B56" s="137" t="s">
        <v>129</v>
      </c>
      <c r="C56" s="137" t="s">
        <v>64</v>
      </c>
      <c r="D56" s="137" t="s">
        <v>27</v>
      </c>
      <c r="E56" s="137" t="s">
        <v>138</v>
      </c>
      <c r="F56" s="137" t="s">
        <v>20</v>
      </c>
      <c r="G56" s="141">
        <v>38551.0</v>
      </c>
      <c r="H56" s="138"/>
      <c r="I56" s="138"/>
      <c r="J56" s="138"/>
      <c r="K56" s="138"/>
      <c r="L56" s="138"/>
      <c r="M56" s="139"/>
    </row>
    <row r="57" ht="16.5" customHeight="1">
      <c r="A57" s="140">
        <v>2020.0</v>
      </c>
      <c r="B57" s="137" t="s">
        <v>129</v>
      </c>
      <c r="C57" s="137" t="s">
        <v>64</v>
      </c>
      <c r="D57" s="137" t="s">
        <v>25</v>
      </c>
      <c r="E57" s="137" t="s">
        <v>138</v>
      </c>
      <c r="F57" s="137" t="s">
        <v>20</v>
      </c>
      <c r="G57" s="141">
        <v>58073.0</v>
      </c>
      <c r="H57" s="138"/>
      <c r="I57" s="138"/>
      <c r="J57" s="138"/>
      <c r="K57" s="138"/>
      <c r="L57" s="138"/>
      <c r="M57" s="139"/>
    </row>
    <row r="58" ht="16.5" customHeight="1">
      <c r="A58" s="140">
        <v>2021.0</v>
      </c>
      <c r="B58" s="137" t="s">
        <v>132</v>
      </c>
      <c r="C58" s="137" t="s">
        <v>65</v>
      </c>
      <c r="D58" s="137" t="s">
        <v>26</v>
      </c>
      <c r="E58" s="137" t="s">
        <v>126</v>
      </c>
      <c r="F58" s="137" t="s">
        <v>20</v>
      </c>
      <c r="G58" s="141">
        <v>0.0</v>
      </c>
      <c r="H58" s="138"/>
      <c r="I58" s="138"/>
      <c r="J58" s="138"/>
      <c r="K58" s="138"/>
      <c r="L58" s="138"/>
      <c r="M58" s="139"/>
    </row>
    <row r="59" ht="15.75" customHeight="1">
      <c r="A59" s="140">
        <v>2021.0</v>
      </c>
      <c r="B59" s="137" t="s">
        <v>132</v>
      </c>
      <c r="C59" s="137" t="s">
        <v>65</v>
      </c>
      <c r="D59" s="137" t="s">
        <v>25</v>
      </c>
      <c r="E59" s="137" t="s">
        <v>138</v>
      </c>
      <c r="F59" s="137" t="s">
        <v>21</v>
      </c>
      <c r="G59" s="141">
        <v>61408.0</v>
      </c>
      <c r="H59" s="138"/>
      <c r="I59" s="138"/>
      <c r="J59" s="138"/>
      <c r="K59" s="138"/>
      <c r="L59" s="138"/>
      <c r="M59" s="139"/>
    </row>
    <row r="60" ht="15.75" customHeight="1">
      <c r="A60" s="140">
        <v>2021.0</v>
      </c>
      <c r="B60" s="137" t="s">
        <v>132</v>
      </c>
      <c r="C60" s="137" t="s">
        <v>65</v>
      </c>
      <c r="D60" s="137" t="s">
        <v>27</v>
      </c>
      <c r="E60" s="137" t="s">
        <v>138</v>
      </c>
      <c r="F60" s="137" t="s">
        <v>21</v>
      </c>
      <c r="G60" s="141">
        <v>17834.0</v>
      </c>
      <c r="H60" s="138"/>
      <c r="I60" s="138"/>
      <c r="J60" s="138"/>
      <c r="K60" s="138"/>
      <c r="L60" s="138"/>
      <c r="M60" s="139"/>
    </row>
    <row r="61" ht="15.75" customHeight="1">
      <c r="A61" s="140">
        <v>2021.0</v>
      </c>
      <c r="B61" s="137" t="s">
        <v>132</v>
      </c>
      <c r="C61" s="137" t="s">
        <v>65</v>
      </c>
      <c r="D61" s="137" t="s">
        <v>27</v>
      </c>
      <c r="E61" s="137" t="s">
        <v>138</v>
      </c>
      <c r="F61" s="137" t="s">
        <v>20</v>
      </c>
      <c r="G61" s="141">
        <v>49050.0</v>
      </c>
      <c r="H61" s="138"/>
      <c r="I61" s="138"/>
      <c r="J61" s="138"/>
      <c r="K61" s="138"/>
      <c r="L61" s="138"/>
      <c r="M61" s="139"/>
    </row>
    <row r="62" ht="15.75" customHeight="1">
      <c r="A62" s="140">
        <v>2021.0</v>
      </c>
      <c r="B62" s="137" t="s">
        <v>132</v>
      </c>
      <c r="C62" s="137" t="s">
        <v>65</v>
      </c>
      <c r="D62" s="137" t="s">
        <v>25</v>
      </c>
      <c r="E62" s="137" t="s">
        <v>138</v>
      </c>
      <c r="F62" s="137" t="s">
        <v>20</v>
      </c>
      <c r="G62" s="141">
        <v>52046.0</v>
      </c>
      <c r="H62" s="138"/>
      <c r="I62" s="138"/>
      <c r="J62" s="138"/>
      <c r="K62" s="138"/>
      <c r="L62" s="138"/>
      <c r="M62" s="139"/>
    </row>
    <row r="63" ht="15.75" customHeight="1">
      <c r="A63" s="140">
        <v>2021.0</v>
      </c>
      <c r="B63" s="137" t="s">
        <v>133</v>
      </c>
      <c r="C63" s="137" t="s">
        <v>66</v>
      </c>
      <c r="D63" s="137" t="s">
        <v>26</v>
      </c>
      <c r="E63" s="137" t="s">
        <v>126</v>
      </c>
      <c r="F63" s="137" t="s">
        <v>20</v>
      </c>
      <c r="G63" s="141">
        <v>2340.0</v>
      </c>
      <c r="H63" s="138"/>
      <c r="I63" s="138"/>
      <c r="J63" s="138"/>
      <c r="K63" s="138"/>
      <c r="L63" s="138"/>
      <c r="M63" s="139"/>
    </row>
    <row r="64" ht="15.75" customHeight="1">
      <c r="A64" s="140">
        <v>2021.0</v>
      </c>
      <c r="B64" s="137" t="s">
        <v>133</v>
      </c>
      <c r="C64" s="137" t="s">
        <v>66</v>
      </c>
      <c r="D64" s="137" t="s">
        <v>25</v>
      </c>
      <c r="E64" s="137" t="s">
        <v>138</v>
      </c>
      <c r="F64" s="137" t="s">
        <v>21</v>
      </c>
      <c r="G64" s="141">
        <v>65946.0</v>
      </c>
      <c r="H64" s="138"/>
      <c r="I64" s="138"/>
      <c r="J64" s="138"/>
      <c r="K64" s="138"/>
      <c r="L64" s="138"/>
      <c r="M64" s="139"/>
    </row>
    <row r="65" ht="15.75" customHeight="1">
      <c r="A65" s="140">
        <v>2021.0</v>
      </c>
      <c r="B65" s="137" t="s">
        <v>133</v>
      </c>
      <c r="C65" s="137" t="s">
        <v>66</v>
      </c>
      <c r="D65" s="137" t="s">
        <v>27</v>
      </c>
      <c r="E65" s="137" t="s">
        <v>138</v>
      </c>
      <c r="F65" s="137" t="s">
        <v>21</v>
      </c>
      <c r="G65" s="141">
        <v>32305.0</v>
      </c>
      <c r="H65" s="138"/>
      <c r="I65" s="138"/>
      <c r="J65" s="138"/>
      <c r="K65" s="138"/>
      <c r="L65" s="138"/>
      <c r="M65" s="139"/>
    </row>
    <row r="66" ht="15.75" customHeight="1">
      <c r="A66" s="140">
        <v>2021.0</v>
      </c>
      <c r="B66" s="137" t="s">
        <v>133</v>
      </c>
      <c r="C66" s="137" t="s">
        <v>66</v>
      </c>
      <c r="D66" s="137" t="s">
        <v>27</v>
      </c>
      <c r="E66" s="137" t="s">
        <v>138</v>
      </c>
      <c r="F66" s="137" t="s">
        <v>20</v>
      </c>
      <c r="G66" s="141">
        <v>53324.0</v>
      </c>
      <c r="H66" s="138"/>
      <c r="I66" s="138"/>
      <c r="J66" s="138"/>
      <c r="K66" s="138"/>
      <c r="L66" s="138"/>
      <c r="M66" s="139"/>
    </row>
    <row r="67" ht="15.75" customHeight="1">
      <c r="A67" s="140">
        <v>2021.0</v>
      </c>
      <c r="B67" s="137" t="s">
        <v>133</v>
      </c>
      <c r="C67" s="137" t="s">
        <v>66</v>
      </c>
      <c r="D67" s="137" t="s">
        <v>25</v>
      </c>
      <c r="E67" s="137" t="s">
        <v>138</v>
      </c>
      <c r="F67" s="137" t="s">
        <v>20</v>
      </c>
      <c r="G67" s="141">
        <v>52506.0</v>
      </c>
      <c r="H67" s="138"/>
      <c r="I67" s="138"/>
      <c r="J67" s="138"/>
      <c r="K67" s="138"/>
      <c r="L67" s="138"/>
      <c r="M67" s="139"/>
    </row>
    <row r="68" ht="15.75" customHeight="1">
      <c r="A68" s="140">
        <v>2021.0</v>
      </c>
      <c r="B68" s="137" t="s">
        <v>125</v>
      </c>
      <c r="C68" s="137" t="s">
        <v>67</v>
      </c>
      <c r="D68" s="137" t="s">
        <v>26</v>
      </c>
      <c r="E68" s="137" t="s">
        <v>126</v>
      </c>
      <c r="F68" s="137" t="s">
        <v>20</v>
      </c>
      <c r="G68" s="141">
        <v>8941.0</v>
      </c>
      <c r="H68" s="138"/>
      <c r="I68" s="138"/>
      <c r="J68" s="138"/>
      <c r="K68" s="138"/>
      <c r="L68" s="138"/>
      <c r="M68" s="139"/>
    </row>
    <row r="69" ht="15.75" customHeight="1">
      <c r="A69" s="140">
        <v>2021.0</v>
      </c>
      <c r="B69" s="137" t="s">
        <v>125</v>
      </c>
      <c r="C69" s="137" t="s">
        <v>67</v>
      </c>
      <c r="D69" s="137" t="s">
        <v>25</v>
      </c>
      <c r="E69" s="137" t="s">
        <v>138</v>
      </c>
      <c r="F69" s="137" t="s">
        <v>21</v>
      </c>
      <c r="G69" s="141">
        <v>67590.0</v>
      </c>
      <c r="H69" s="138"/>
      <c r="I69" s="138"/>
      <c r="J69" s="138"/>
      <c r="K69" s="138"/>
      <c r="L69" s="138"/>
      <c r="M69" s="139"/>
    </row>
    <row r="70" ht="15.75" customHeight="1">
      <c r="A70" s="140">
        <v>2021.0</v>
      </c>
      <c r="B70" s="137" t="s">
        <v>125</v>
      </c>
      <c r="C70" s="137" t="s">
        <v>67</v>
      </c>
      <c r="D70" s="137" t="s">
        <v>27</v>
      </c>
      <c r="E70" s="137" t="s">
        <v>138</v>
      </c>
      <c r="F70" s="137" t="s">
        <v>21</v>
      </c>
      <c r="G70" s="141">
        <v>61474.0</v>
      </c>
      <c r="H70" s="138"/>
      <c r="I70" s="138"/>
      <c r="J70" s="138"/>
      <c r="K70" s="138"/>
      <c r="L70" s="138"/>
      <c r="M70" s="139"/>
    </row>
    <row r="71" ht="15.75" customHeight="1">
      <c r="A71" s="140">
        <v>2021.0</v>
      </c>
      <c r="B71" s="137" t="s">
        <v>125</v>
      </c>
      <c r="C71" s="137" t="s">
        <v>67</v>
      </c>
      <c r="D71" s="137" t="s">
        <v>27</v>
      </c>
      <c r="E71" s="137" t="s">
        <v>138</v>
      </c>
      <c r="F71" s="137" t="s">
        <v>20</v>
      </c>
      <c r="G71" s="141">
        <v>45800.0</v>
      </c>
      <c r="H71" s="138"/>
      <c r="I71" s="138"/>
      <c r="J71" s="138"/>
      <c r="K71" s="138"/>
      <c r="L71" s="138"/>
      <c r="M71" s="139"/>
    </row>
    <row r="72" ht="15.75" customHeight="1">
      <c r="A72" s="140">
        <v>2021.0</v>
      </c>
      <c r="B72" s="137" t="s">
        <v>125</v>
      </c>
      <c r="C72" s="137" t="s">
        <v>67</v>
      </c>
      <c r="D72" s="137" t="s">
        <v>25</v>
      </c>
      <c r="E72" s="137" t="s">
        <v>138</v>
      </c>
      <c r="F72" s="137" t="s">
        <v>20</v>
      </c>
      <c r="G72" s="141">
        <v>54018.0</v>
      </c>
      <c r="H72" s="138"/>
      <c r="I72" s="138"/>
      <c r="J72" s="138"/>
      <c r="K72" s="138"/>
      <c r="L72" s="138"/>
      <c r="M72" s="139"/>
    </row>
    <row r="73" ht="15.75" customHeight="1">
      <c r="A73" s="140">
        <v>2021.0</v>
      </c>
      <c r="B73" s="137" t="s">
        <v>129</v>
      </c>
      <c r="C73" s="137" t="s">
        <v>68</v>
      </c>
      <c r="D73" s="137" t="s">
        <v>26</v>
      </c>
      <c r="E73" s="137" t="s">
        <v>126</v>
      </c>
      <c r="F73" s="137" t="s">
        <v>20</v>
      </c>
      <c r="G73" s="141">
        <v>13109.0</v>
      </c>
      <c r="H73" s="138"/>
      <c r="I73" s="138"/>
      <c r="J73" s="138"/>
      <c r="K73" s="138"/>
      <c r="L73" s="138"/>
      <c r="M73" s="139"/>
    </row>
    <row r="74" ht="15.75" customHeight="1">
      <c r="A74" s="140">
        <v>2021.0</v>
      </c>
      <c r="B74" s="137" t="s">
        <v>129</v>
      </c>
      <c r="C74" s="137" t="s">
        <v>68</v>
      </c>
      <c r="D74" s="137" t="s">
        <v>25</v>
      </c>
      <c r="E74" s="137" t="s">
        <v>138</v>
      </c>
      <c r="F74" s="137" t="s">
        <v>21</v>
      </c>
      <c r="G74" s="141">
        <v>84914.0</v>
      </c>
      <c r="H74" s="138"/>
      <c r="I74" s="138"/>
      <c r="J74" s="138"/>
      <c r="K74" s="138"/>
      <c r="L74" s="138"/>
      <c r="M74" s="139"/>
    </row>
    <row r="75" ht="15.75" customHeight="1">
      <c r="A75" s="140">
        <v>2021.0</v>
      </c>
      <c r="B75" s="137" t="s">
        <v>129</v>
      </c>
      <c r="C75" s="137" t="s">
        <v>68</v>
      </c>
      <c r="D75" s="137" t="s">
        <v>27</v>
      </c>
      <c r="E75" s="137" t="s">
        <v>138</v>
      </c>
      <c r="F75" s="137" t="s">
        <v>21</v>
      </c>
      <c r="G75" s="141">
        <v>94316.0</v>
      </c>
      <c r="H75" s="138"/>
      <c r="I75" s="138"/>
      <c r="J75" s="138"/>
      <c r="K75" s="138"/>
      <c r="L75" s="138"/>
      <c r="M75" s="139"/>
    </row>
    <row r="76" ht="15.75" customHeight="1">
      <c r="A76" s="140">
        <v>2021.0</v>
      </c>
      <c r="B76" s="137" t="s">
        <v>129</v>
      </c>
      <c r="C76" s="137" t="s">
        <v>68</v>
      </c>
      <c r="D76" s="137" t="s">
        <v>27</v>
      </c>
      <c r="E76" s="137" t="s">
        <v>138</v>
      </c>
      <c r="F76" s="137" t="s">
        <v>20</v>
      </c>
      <c r="G76" s="141">
        <v>55400.0</v>
      </c>
      <c r="H76" s="138"/>
      <c r="I76" s="138"/>
      <c r="J76" s="138"/>
      <c r="K76" s="138"/>
      <c r="L76" s="138"/>
      <c r="M76" s="139"/>
    </row>
    <row r="77" ht="15.75" customHeight="1">
      <c r="A77" s="140">
        <v>2021.0</v>
      </c>
      <c r="B77" s="137" t="s">
        <v>129</v>
      </c>
      <c r="C77" s="137" t="s">
        <v>68</v>
      </c>
      <c r="D77" s="137" t="s">
        <v>25</v>
      </c>
      <c r="E77" s="137" t="s">
        <v>138</v>
      </c>
      <c r="F77" s="137" t="s">
        <v>20</v>
      </c>
      <c r="G77" s="141">
        <v>58101.0</v>
      </c>
      <c r="H77" s="138"/>
      <c r="I77" s="138"/>
      <c r="J77" s="138"/>
      <c r="K77" s="138"/>
      <c r="L77" s="138"/>
      <c r="M77" s="139"/>
    </row>
    <row r="78">
      <c r="A78" s="140">
        <v>2022.0</v>
      </c>
      <c r="B78" s="137" t="s">
        <v>132</v>
      </c>
      <c r="C78" s="137" t="s">
        <v>69</v>
      </c>
      <c r="D78" s="137" t="s">
        <v>26</v>
      </c>
      <c r="E78" s="137" t="s">
        <v>126</v>
      </c>
      <c r="F78" s="137" t="s">
        <v>20</v>
      </c>
      <c r="G78" s="141">
        <v>14218.0</v>
      </c>
      <c r="H78" s="138"/>
      <c r="I78" s="138"/>
      <c r="J78" s="138"/>
      <c r="K78" s="138"/>
      <c r="L78" s="138"/>
      <c r="M78" s="139"/>
    </row>
    <row r="79">
      <c r="A79" s="140">
        <v>2022.0</v>
      </c>
      <c r="B79" s="137" t="s">
        <v>132</v>
      </c>
      <c r="C79" s="137" t="s">
        <v>69</v>
      </c>
      <c r="D79" s="137" t="s">
        <v>25</v>
      </c>
      <c r="E79" s="137" t="s">
        <v>138</v>
      </c>
      <c r="F79" s="137" t="s">
        <v>21</v>
      </c>
      <c r="G79" s="141">
        <v>75456.0</v>
      </c>
      <c r="H79" s="138"/>
      <c r="I79" s="138"/>
      <c r="J79" s="138"/>
      <c r="K79" s="138"/>
      <c r="L79" s="138"/>
      <c r="M79" s="139"/>
    </row>
    <row r="80">
      <c r="A80" s="140">
        <v>2022.0</v>
      </c>
      <c r="B80" s="137" t="s">
        <v>132</v>
      </c>
      <c r="C80" s="137" t="s">
        <v>69</v>
      </c>
      <c r="D80" s="137" t="s">
        <v>27</v>
      </c>
      <c r="E80" s="137" t="s">
        <v>138</v>
      </c>
      <c r="F80" s="137" t="s">
        <v>21</v>
      </c>
      <c r="G80" s="141">
        <v>103431.0</v>
      </c>
      <c r="H80" s="138"/>
      <c r="I80" s="138"/>
      <c r="J80" s="138"/>
      <c r="K80" s="138"/>
      <c r="L80" s="138"/>
      <c r="M80" s="139"/>
    </row>
    <row r="81">
      <c r="A81" s="140">
        <v>2022.0</v>
      </c>
      <c r="B81" s="137" t="s">
        <v>132</v>
      </c>
      <c r="C81" s="137" t="s">
        <v>69</v>
      </c>
      <c r="D81" s="137" t="s">
        <v>27</v>
      </c>
      <c r="E81" s="137" t="s">
        <v>138</v>
      </c>
      <c r="F81" s="137" t="s">
        <v>20</v>
      </c>
      <c r="G81" s="141">
        <v>55400.0</v>
      </c>
      <c r="H81" s="138"/>
      <c r="I81" s="138"/>
      <c r="J81" s="138"/>
      <c r="K81" s="138"/>
      <c r="L81" s="138"/>
      <c r="M81" s="139"/>
    </row>
    <row r="82">
      <c r="A82" s="140">
        <v>2022.0</v>
      </c>
      <c r="B82" s="137" t="s">
        <v>132</v>
      </c>
      <c r="C82" s="137" t="s">
        <v>69</v>
      </c>
      <c r="D82" s="137" t="s">
        <v>25</v>
      </c>
      <c r="E82" s="137" t="s">
        <v>138</v>
      </c>
      <c r="F82" s="137" t="s">
        <v>20</v>
      </c>
      <c r="G82" s="141">
        <v>55678.0</v>
      </c>
      <c r="H82" s="138"/>
      <c r="I82" s="138"/>
      <c r="J82" s="138"/>
      <c r="K82" s="138"/>
      <c r="L82" s="138"/>
      <c r="M82" s="139"/>
    </row>
    <row r="83">
      <c r="A83" s="140">
        <v>2022.0</v>
      </c>
      <c r="B83" s="137" t="s">
        <v>132</v>
      </c>
      <c r="C83" s="137" t="s">
        <v>69</v>
      </c>
      <c r="D83" s="137" t="s">
        <v>27</v>
      </c>
      <c r="E83" s="137" t="s">
        <v>138</v>
      </c>
      <c r="F83" s="137" t="s">
        <v>23</v>
      </c>
      <c r="G83" s="141">
        <v>225.0</v>
      </c>
      <c r="H83" s="138"/>
      <c r="I83" s="138"/>
      <c r="J83" s="138"/>
      <c r="K83" s="138"/>
      <c r="L83" s="138"/>
      <c r="M83" s="139"/>
    </row>
    <row r="84">
      <c r="A84" s="140">
        <v>2022.0</v>
      </c>
      <c r="B84" s="137" t="s">
        <v>132</v>
      </c>
      <c r="C84" s="137" t="s">
        <v>69</v>
      </c>
      <c r="D84" s="137" t="s">
        <v>27</v>
      </c>
      <c r="E84" s="137" t="s">
        <v>138</v>
      </c>
      <c r="F84" s="137" t="s">
        <v>22</v>
      </c>
      <c r="G84" s="141">
        <v>999.0</v>
      </c>
      <c r="H84" s="138"/>
      <c r="I84" s="138"/>
      <c r="J84" s="138"/>
      <c r="K84" s="138"/>
      <c r="L84" s="138"/>
      <c r="M84" s="139"/>
    </row>
    <row r="85">
      <c r="A85" s="140">
        <v>2022.0</v>
      </c>
      <c r="B85" s="137" t="s">
        <v>133</v>
      </c>
      <c r="C85" s="137" t="s">
        <v>70</v>
      </c>
      <c r="D85" s="137" t="s">
        <v>26</v>
      </c>
      <c r="E85" s="137" t="s">
        <v>126</v>
      </c>
      <c r="F85" s="137" t="s">
        <v>20</v>
      </c>
      <c r="G85" s="141">
        <v>16411.0</v>
      </c>
      <c r="H85" s="138"/>
      <c r="I85" s="138"/>
      <c r="J85" s="138"/>
      <c r="K85" s="138"/>
      <c r="L85" s="138"/>
      <c r="M85" s="139"/>
    </row>
    <row r="86">
      <c r="A86" s="140">
        <v>2022.0</v>
      </c>
      <c r="B86" s="137" t="s">
        <v>133</v>
      </c>
      <c r="C86" s="137" t="s">
        <v>70</v>
      </c>
      <c r="D86" s="137" t="s">
        <v>25</v>
      </c>
      <c r="E86" s="137" t="s">
        <v>138</v>
      </c>
      <c r="F86" s="137" t="s">
        <v>21</v>
      </c>
      <c r="G86" s="141">
        <v>39504.0</v>
      </c>
      <c r="H86" s="138"/>
      <c r="I86" s="138"/>
      <c r="J86" s="138"/>
      <c r="K86" s="138"/>
      <c r="L86" s="138"/>
      <c r="M86" s="139"/>
    </row>
    <row r="87">
      <c r="A87" s="140">
        <v>2022.0</v>
      </c>
      <c r="B87" s="137" t="s">
        <v>133</v>
      </c>
      <c r="C87" s="137" t="s">
        <v>70</v>
      </c>
      <c r="D87" s="137" t="s">
        <v>27</v>
      </c>
      <c r="E87" s="137" t="s">
        <v>138</v>
      </c>
      <c r="F87" s="137" t="s">
        <v>21</v>
      </c>
      <c r="G87" s="141">
        <v>75725.0</v>
      </c>
      <c r="H87" s="138"/>
      <c r="I87" s="138"/>
      <c r="J87" s="138"/>
      <c r="K87" s="138"/>
      <c r="L87" s="138"/>
      <c r="M87" s="139"/>
    </row>
    <row r="88">
      <c r="A88" s="140">
        <v>2022.0</v>
      </c>
      <c r="B88" s="137" t="s">
        <v>133</v>
      </c>
      <c r="C88" s="137" t="s">
        <v>70</v>
      </c>
      <c r="D88" s="137" t="s">
        <v>27</v>
      </c>
      <c r="E88" s="137" t="s">
        <v>138</v>
      </c>
      <c r="F88" s="137" t="s">
        <v>20</v>
      </c>
      <c r="G88" s="141">
        <v>59900.0</v>
      </c>
      <c r="H88" s="138"/>
      <c r="I88" s="138"/>
      <c r="J88" s="138"/>
      <c r="K88" s="138"/>
      <c r="L88" s="138"/>
      <c r="M88" s="139"/>
    </row>
    <row r="89">
      <c r="A89" s="140">
        <v>2022.0</v>
      </c>
      <c r="B89" s="137" t="s">
        <v>133</v>
      </c>
      <c r="C89" s="137" t="s">
        <v>70</v>
      </c>
      <c r="D89" s="137" t="s">
        <v>25</v>
      </c>
      <c r="E89" s="137" t="s">
        <v>138</v>
      </c>
      <c r="F89" s="137" t="s">
        <v>20</v>
      </c>
      <c r="G89" s="141">
        <v>56800.0</v>
      </c>
      <c r="H89" s="138"/>
      <c r="I89" s="138"/>
      <c r="J89" s="138"/>
      <c r="K89" s="138"/>
      <c r="L89" s="138"/>
      <c r="M89" s="139"/>
    </row>
    <row r="90">
      <c r="A90" s="140">
        <v>2022.0</v>
      </c>
      <c r="B90" s="137" t="s">
        <v>133</v>
      </c>
      <c r="C90" s="137" t="s">
        <v>70</v>
      </c>
      <c r="D90" s="137" t="s">
        <v>27</v>
      </c>
      <c r="E90" s="137" t="s">
        <v>138</v>
      </c>
      <c r="F90" s="137" t="s">
        <v>23</v>
      </c>
      <c r="G90" s="141">
        <v>2453.0</v>
      </c>
      <c r="H90" s="138"/>
      <c r="I90" s="138"/>
      <c r="J90" s="138"/>
      <c r="K90" s="138"/>
      <c r="L90" s="138"/>
      <c r="M90" s="139"/>
    </row>
    <row r="91">
      <c r="A91" s="140">
        <v>2022.0</v>
      </c>
      <c r="B91" s="137" t="s">
        <v>133</v>
      </c>
      <c r="C91" s="137" t="s">
        <v>70</v>
      </c>
      <c r="D91" s="137" t="s">
        <v>27</v>
      </c>
      <c r="E91" s="137" t="s">
        <v>138</v>
      </c>
      <c r="F91" s="137" t="s">
        <v>22</v>
      </c>
      <c r="G91" s="141">
        <v>7787.0</v>
      </c>
      <c r="H91" s="138"/>
      <c r="I91" s="138"/>
      <c r="J91" s="138"/>
      <c r="K91" s="138"/>
      <c r="L91" s="138"/>
      <c r="M91" s="139"/>
    </row>
    <row r="92">
      <c r="A92" s="140">
        <v>2022.0</v>
      </c>
      <c r="B92" s="137" t="s">
        <v>125</v>
      </c>
      <c r="C92" s="137" t="s">
        <v>71</v>
      </c>
      <c r="D92" s="137" t="s">
        <v>26</v>
      </c>
      <c r="E92" s="137" t="s">
        <v>126</v>
      </c>
      <c r="F92" s="137" t="s">
        <v>20</v>
      </c>
      <c r="G92" s="141">
        <v>19935.0</v>
      </c>
      <c r="H92" s="138"/>
      <c r="I92" s="138"/>
      <c r="J92" s="138"/>
      <c r="K92" s="138"/>
      <c r="L92" s="138"/>
      <c r="M92" s="139"/>
    </row>
    <row r="93">
      <c r="A93" s="140">
        <v>2022.0</v>
      </c>
      <c r="B93" s="137" t="s">
        <v>125</v>
      </c>
      <c r="C93" s="137" t="s">
        <v>71</v>
      </c>
      <c r="D93" s="137" t="s">
        <v>25</v>
      </c>
      <c r="E93" s="137" t="s">
        <v>138</v>
      </c>
      <c r="F93" s="137" t="s">
        <v>21</v>
      </c>
      <c r="G93" s="141">
        <v>61402.0</v>
      </c>
      <c r="H93" s="138"/>
      <c r="I93" s="138"/>
      <c r="J93" s="138"/>
      <c r="K93" s="138"/>
      <c r="L93" s="138"/>
      <c r="M93" s="139"/>
    </row>
    <row r="94">
      <c r="A94" s="140">
        <v>2022.0</v>
      </c>
      <c r="B94" s="137" t="s">
        <v>125</v>
      </c>
      <c r="C94" s="137" t="s">
        <v>71</v>
      </c>
      <c r="D94" s="137" t="s">
        <v>27</v>
      </c>
      <c r="E94" s="137" t="s">
        <v>138</v>
      </c>
      <c r="F94" s="137" t="s">
        <v>21</v>
      </c>
      <c r="G94" s="141">
        <v>136010.0</v>
      </c>
      <c r="H94" s="138"/>
      <c r="I94" s="138"/>
      <c r="J94" s="138"/>
      <c r="K94" s="138"/>
      <c r="L94" s="138"/>
      <c r="M94" s="139"/>
    </row>
    <row r="95">
      <c r="A95" s="140">
        <v>2022.0</v>
      </c>
      <c r="B95" s="137" t="s">
        <v>125</v>
      </c>
      <c r="C95" s="137" t="s">
        <v>71</v>
      </c>
      <c r="D95" s="137" t="s">
        <v>27</v>
      </c>
      <c r="E95" s="137" t="s">
        <v>138</v>
      </c>
      <c r="F95" s="137" t="s">
        <v>20</v>
      </c>
      <c r="G95" s="141">
        <v>58200.0</v>
      </c>
      <c r="H95" s="138"/>
      <c r="I95" s="138"/>
      <c r="J95" s="138"/>
      <c r="K95" s="138"/>
      <c r="L95" s="138"/>
      <c r="M95" s="139"/>
    </row>
    <row r="96">
      <c r="A96" s="140">
        <v>2022.0</v>
      </c>
      <c r="B96" s="137" t="s">
        <v>125</v>
      </c>
      <c r="C96" s="137" t="s">
        <v>71</v>
      </c>
      <c r="D96" s="137" t="s">
        <v>25</v>
      </c>
      <c r="E96" s="137" t="s">
        <v>138</v>
      </c>
      <c r="F96" s="137" t="s">
        <v>20</v>
      </c>
      <c r="G96" s="141">
        <v>65155.0</v>
      </c>
      <c r="H96" s="138"/>
      <c r="I96" s="138"/>
      <c r="J96" s="138"/>
      <c r="K96" s="138"/>
      <c r="L96" s="138"/>
      <c r="M96" s="139"/>
    </row>
    <row r="97">
      <c r="A97" s="140">
        <v>2022.0</v>
      </c>
      <c r="B97" s="137" t="s">
        <v>125</v>
      </c>
      <c r="C97" s="137" t="s">
        <v>71</v>
      </c>
      <c r="D97" s="137" t="s">
        <v>27</v>
      </c>
      <c r="E97" s="137" t="s">
        <v>138</v>
      </c>
      <c r="F97" s="137" t="s">
        <v>23</v>
      </c>
      <c r="G97" s="141">
        <v>8550.0</v>
      </c>
      <c r="H97" s="138"/>
      <c r="I97" s="138"/>
      <c r="J97" s="138"/>
      <c r="K97" s="138"/>
      <c r="L97" s="138"/>
      <c r="M97" s="139"/>
    </row>
    <row r="98">
      <c r="A98" s="140">
        <v>2022.0</v>
      </c>
      <c r="B98" s="137" t="s">
        <v>125</v>
      </c>
      <c r="C98" s="137" t="s">
        <v>71</v>
      </c>
      <c r="D98" s="137" t="s">
        <v>27</v>
      </c>
      <c r="E98" s="137" t="s">
        <v>138</v>
      </c>
      <c r="F98" s="137" t="s">
        <v>22</v>
      </c>
      <c r="G98" s="141">
        <v>16671.0</v>
      </c>
      <c r="H98" s="138"/>
      <c r="I98" s="138"/>
      <c r="J98" s="138"/>
      <c r="K98" s="138"/>
      <c r="L98" s="138"/>
      <c r="M98" s="139"/>
    </row>
    <row r="99">
      <c r="A99" s="140">
        <v>2022.0</v>
      </c>
      <c r="B99" s="137" t="s">
        <v>129</v>
      </c>
      <c r="C99" s="137" t="s">
        <v>72</v>
      </c>
      <c r="D99" s="137" t="s">
        <v>26</v>
      </c>
      <c r="E99" s="137" t="s">
        <v>126</v>
      </c>
      <c r="F99" s="137" t="s">
        <v>20</v>
      </c>
      <c r="G99" s="141">
        <v>20613.0</v>
      </c>
      <c r="H99" s="138"/>
      <c r="I99" s="138"/>
      <c r="J99" s="138"/>
      <c r="K99" s="138"/>
      <c r="L99" s="138"/>
      <c r="M99" s="139"/>
    </row>
    <row r="100">
      <c r="A100" s="140">
        <v>2022.0</v>
      </c>
      <c r="B100" s="137" t="s">
        <v>129</v>
      </c>
      <c r="C100" s="137" t="s">
        <v>72</v>
      </c>
      <c r="D100" s="137" t="s">
        <v>25</v>
      </c>
      <c r="E100" s="137" t="s">
        <v>138</v>
      </c>
      <c r="F100" s="137" t="s">
        <v>21</v>
      </c>
      <c r="G100" s="141">
        <v>86291.0</v>
      </c>
      <c r="H100" s="138"/>
      <c r="I100" s="138"/>
      <c r="J100" s="138"/>
      <c r="K100" s="138"/>
      <c r="L100" s="138"/>
      <c r="M100" s="139"/>
    </row>
    <row r="101">
      <c r="A101" s="140">
        <v>2022.0</v>
      </c>
      <c r="B101" s="137" t="s">
        <v>129</v>
      </c>
      <c r="C101" s="137" t="s">
        <v>72</v>
      </c>
      <c r="D101" s="137" t="s">
        <v>27</v>
      </c>
      <c r="E101" s="137" t="s">
        <v>138</v>
      </c>
      <c r="F101" s="137" t="s">
        <v>21</v>
      </c>
      <c r="G101" s="141">
        <v>148850.0</v>
      </c>
      <c r="H101" s="138"/>
      <c r="I101" s="138"/>
      <c r="J101" s="138"/>
      <c r="K101" s="138"/>
      <c r="L101" s="138"/>
      <c r="M101" s="139"/>
    </row>
    <row r="102">
      <c r="A102" s="140">
        <v>2022.0</v>
      </c>
      <c r="B102" s="137" t="s">
        <v>129</v>
      </c>
      <c r="C102" s="137" t="s">
        <v>72</v>
      </c>
      <c r="D102" s="137" t="s">
        <v>27</v>
      </c>
      <c r="E102" s="137" t="s">
        <v>138</v>
      </c>
      <c r="F102" s="137" t="s">
        <v>20</v>
      </c>
      <c r="G102" s="141">
        <v>67800.0</v>
      </c>
      <c r="H102" s="138"/>
      <c r="I102" s="138"/>
      <c r="J102" s="138"/>
      <c r="K102" s="138"/>
      <c r="L102" s="138"/>
      <c r="M102" s="139"/>
    </row>
    <row r="103">
      <c r="A103" s="140">
        <v>2022.0</v>
      </c>
      <c r="B103" s="137" t="s">
        <v>129</v>
      </c>
      <c r="C103" s="137" t="s">
        <v>72</v>
      </c>
      <c r="D103" s="137" t="s">
        <v>25</v>
      </c>
      <c r="E103" s="137" t="s">
        <v>138</v>
      </c>
      <c r="F103" s="137" t="s">
        <v>20</v>
      </c>
      <c r="G103" s="141">
        <v>65000.0</v>
      </c>
      <c r="H103" s="138"/>
      <c r="I103" s="138"/>
      <c r="J103" s="138"/>
      <c r="K103" s="138"/>
      <c r="L103" s="138"/>
      <c r="M103" s="139"/>
    </row>
    <row r="104">
      <c r="A104" s="140">
        <v>2022.0</v>
      </c>
      <c r="B104" s="137" t="s">
        <v>129</v>
      </c>
      <c r="C104" s="137" t="s">
        <v>72</v>
      </c>
      <c r="D104" s="137" t="s">
        <v>27</v>
      </c>
      <c r="E104" s="137" t="s">
        <v>138</v>
      </c>
      <c r="F104" s="137" t="s">
        <v>23</v>
      </c>
      <c r="G104" s="141">
        <v>27900.0</v>
      </c>
      <c r="H104" s="138"/>
      <c r="I104" s="138"/>
      <c r="J104" s="138"/>
      <c r="K104" s="138"/>
      <c r="L104" s="138"/>
      <c r="M104" s="139"/>
    </row>
    <row r="105">
      <c r="A105" s="140">
        <v>2022.0</v>
      </c>
      <c r="B105" s="137" t="s">
        <v>129</v>
      </c>
      <c r="C105" s="137" t="s">
        <v>72</v>
      </c>
      <c r="D105" s="137" t="s">
        <v>27</v>
      </c>
      <c r="E105" s="137" t="s">
        <v>138</v>
      </c>
      <c r="F105" s="137" t="s">
        <v>22</v>
      </c>
      <c r="G105" s="141">
        <v>23247.0</v>
      </c>
      <c r="H105" s="138"/>
      <c r="I105" s="138"/>
      <c r="J105" s="138"/>
      <c r="K105" s="138"/>
      <c r="L105" s="138"/>
      <c r="M105" s="139"/>
    </row>
    <row r="106">
      <c r="A106" s="140">
        <v>2023.0</v>
      </c>
      <c r="B106" s="137" t="s">
        <v>132</v>
      </c>
      <c r="C106" s="137" t="s">
        <v>73</v>
      </c>
      <c r="D106" s="137" t="s">
        <v>26</v>
      </c>
      <c r="E106" s="137" t="s">
        <v>126</v>
      </c>
      <c r="F106" s="137" t="s">
        <v>20</v>
      </c>
      <c r="G106" s="141">
        <v>19437.0</v>
      </c>
      <c r="H106" s="138"/>
      <c r="I106" s="138"/>
      <c r="J106" s="138"/>
      <c r="K106" s="138"/>
      <c r="L106" s="138"/>
      <c r="M106" s="139"/>
    </row>
    <row r="107">
      <c r="A107" s="140">
        <v>2023.0</v>
      </c>
      <c r="B107" s="137" t="s">
        <v>132</v>
      </c>
      <c r="C107" s="137" t="s">
        <v>73</v>
      </c>
      <c r="D107" s="137" t="s">
        <v>25</v>
      </c>
      <c r="E107" s="137" t="s">
        <v>138</v>
      </c>
      <c r="F107" s="137" t="s">
        <v>21</v>
      </c>
      <c r="G107" s="141">
        <v>69648.0</v>
      </c>
      <c r="H107" s="138"/>
      <c r="I107" s="138"/>
      <c r="J107" s="138"/>
      <c r="K107" s="138"/>
      <c r="L107" s="138"/>
      <c r="M107" s="139"/>
    </row>
    <row r="108">
      <c r="A108" s="140">
        <v>2023.0</v>
      </c>
      <c r="B108" s="137" t="s">
        <v>132</v>
      </c>
      <c r="C108" s="137" t="s">
        <v>73</v>
      </c>
      <c r="D108" s="137" t="s">
        <v>27</v>
      </c>
      <c r="E108" s="137" t="s">
        <v>138</v>
      </c>
      <c r="F108" s="137" t="s">
        <v>21</v>
      </c>
      <c r="G108" s="141">
        <v>148891.0</v>
      </c>
      <c r="H108" s="138"/>
      <c r="I108" s="138"/>
      <c r="J108" s="138"/>
      <c r="K108" s="138"/>
      <c r="L108" s="138"/>
      <c r="M108" s="139"/>
    </row>
    <row r="109">
      <c r="A109" s="140">
        <v>2023.0</v>
      </c>
      <c r="B109" s="137" t="s">
        <v>132</v>
      </c>
      <c r="C109" s="137" t="s">
        <v>73</v>
      </c>
      <c r="D109" s="137" t="s">
        <v>27</v>
      </c>
      <c r="E109" s="137" t="s">
        <v>138</v>
      </c>
      <c r="F109" s="137" t="s">
        <v>20</v>
      </c>
      <c r="G109" s="141">
        <v>59056.0</v>
      </c>
      <c r="H109" s="138"/>
      <c r="I109" s="138"/>
      <c r="J109" s="138"/>
      <c r="K109" s="138"/>
      <c r="L109" s="138"/>
      <c r="M109" s="139"/>
    </row>
    <row r="110">
      <c r="A110" s="140">
        <v>2023.0</v>
      </c>
      <c r="B110" s="137" t="s">
        <v>132</v>
      </c>
      <c r="C110" s="137" t="s">
        <v>73</v>
      </c>
      <c r="D110" s="137" t="s">
        <v>25</v>
      </c>
      <c r="E110" s="137" t="s">
        <v>138</v>
      </c>
      <c r="F110" s="137" t="s">
        <v>20</v>
      </c>
      <c r="G110" s="141">
        <v>64342.0</v>
      </c>
      <c r="H110" s="138"/>
      <c r="I110" s="138"/>
      <c r="J110" s="138"/>
      <c r="K110" s="138"/>
      <c r="L110" s="138"/>
      <c r="M110" s="139"/>
    </row>
    <row r="111">
      <c r="A111" s="140">
        <v>2023.0</v>
      </c>
      <c r="B111" s="137" t="s">
        <v>132</v>
      </c>
      <c r="C111" s="137" t="s">
        <v>73</v>
      </c>
      <c r="D111" s="137" t="s">
        <v>27</v>
      </c>
      <c r="E111" s="137" t="s">
        <v>138</v>
      </c>
      <c r="F111" s="137" t="s">
        <v>23</v>
      </c>
      <c r="G111" s="141">
        <v>40920.0</v>
      </c>
      <c r="H111" s="138"/>
      <c r="I111" s="138"/>
      <c r="J111" s="138"/>
      <c r="K111" s="138"/>
      <c r="L111" s="138"/>
      <c r="M111" s="139"/>
    </row>
    <row r="112">
      <c r="A112" s="140">
        <v>2023.0</v>
      </c>
      <c r="B112" s="137" t="s">
        <v>132</v>
      </c>
      <c r="C112" s="137" t="s">
        <v>73</v>
      </c>
      <c r="D112" s="137" t="s">
        <v>27</v>
      </c>
      <c r="E112" s="137" t="s">
        <v>138</v>
      </c>
      <c r="F112" s="137" t="s">
        <v>22</v>
      </c>
      <c r="G112" s="141">
        <v>38514.0</v>
      </c>
      <c r="H112" s="138"/>
      <c r="I112" s="138"/>
      <c r="J112" s="138"/>
      <c r="K112" s="138"/>
      <c r="L112" s="138"/>
      <c r="M112" s="139"/>
    </row>
    <row r="113">
      <c r="A113" s="140">
        <v>2023.0</v>
      </c>
      <c r="B113" s="137" t="s">
        <v>133</v>
      </c>
      <c r="C113" s="137" t="s">
        <v>74</v>
      </c>
      <c r="D113" s="137" t="s">
        <v>26</v>
      </c>
      <c r="E113" s="137" t="s">
        <v>126</v>
      </c>
      <c r="F113" s="137" t="s">
        <v>20</v>
      </c>
      <c r="G113" s="141">
        <v>19489.0</v>
      </c>
      <c r="H113" s="138"/>
      <c r="I113" s="138"/>
      <c r="J113" s="138"/>
      <c r="K113" s="138"/>
      <c r="L113" s="138"/>
      <c r="M113" s="139"/>
    </row>
    <row r="114">
      <c r="A114" s="140">
        <v>2023.0</v>
      </c>
      <c r="B114" s="137" t="s">
        <v>133</v>
      </c>
      <c r="C114" s="137" t="s">
        <v>74</v>
      </c>
      <c r="D114" s="137" t="s">
        <v>25</v>
      </c>
      <c r="E114" s="137" t="s">
        <v>138</v>
      </c>
      <c r="F114" s="137" t="s">
        <v>21</v>
      </c>
      <c r="G114" s="141">
        <v>84222.0</v>
      </c>
      <c r="H114" s="138"/>
      <c r="I114" s="138"/>
      <c r="J114" s="138"/>
      <c r="K114" s="138"/>
      <c r="L114" s="138"/>
      <c r="M114" s="139"/>
    </row>
    <row r="115">
      <c r="A115" s="140">
        <v>2023.0</v>
      </c>
      <c r="B115" s="137" t="s">
        <v>133</v>
      </c>
      <c r="C115" s="137" t="s">
        <v>74</v>
      </c>
      <c r="D115" s="137" t="s">
        <v>27</v>
      </c>
      <c r="E115" s="137" t="s">
        <v>138</v>
      </c>
      <c r="F115" s="137" t="s">
        <v>21</v>
      </c>
      <c r="G115" s="141">
        <v>159546.0</v>
      </c>
      <c r="H115" s="138"/>
      <c r="I115" s="138"/>
      <c r="J115" s="138"/>
      <c r="K115" s="138"/>
      <c r="L115" s="138"/>
      <c r="M115" s="139"/>
    </row>
    <row r="116">
      <c r="A116" s="140">
        <v>2023.0</v>
      </c>
      <c r="B116" s="137" t="s">
        <v>133</v>
      </c>
      <c r="C116" s="137" t="s">
        <v>74</v>
      </c>
      <c r="D116" s="137" t="s">
        <v>27</v>
      </c>
      <c r="E116" s="137" t="s">
        <v>138</v>
      </c>
      <c r="F116" s="137" t="s">
        <v>20</v>
      </c>
      <c r="G116" s="141">
        <v>63744.0</v>
      </c>
      <c r="H116" s="138"/>
      <c r="I116" s="138"/>
      <c r="J116" s="138"/>
      <c r="K116" s="138"/>
      <c r="L116" s="138"/>
      <c r="M116" s="139"/>
    </row>
    <row r="117">
      <c r="A117" s="140">
        <v>2023.0</v>
      </c>
      <c r="B117" s="137" t="s">
        <v>133</v>
      </c>
      <c r="C117" s="137" t="s">
        <v>74</v>
      </c>
      <c r="D117" s="137" t="s">
        <v>25</v>
      </c>
      <c r="E117" s="137" t="s">
        <v>138</v>
      </c>
      <c r="F117" s="137" t="s">
        <v>20</v>
      </c>
      <c r="G117" s="141">
        <v>64469.0</v>
      </c>
      <c r="H117" s="138"/>
      <c r="I117" s="138"/>
      <c r="J117" s="138"/>
      <c r="K117" s="138"/>
      <c r="L117" s="138"/>
      <c r="M117" s="139"/>
    </row>
    <row r="118">
      <c r="A118" s="140">
        <v>2023.0</v>
      </c>
      <c r="B118" s="137" t="s">
        <v>133</v>
      </c>
      <c r="C118" s="137" t="s">
        <v>74</v>
      </c>
      <c r="D118" s="137" t="s">
        <v>27</v>
      </c>
      <c r="E118" s="137" t="s">
        <v>138</v>
      </c>
      <c r="F118" s="137" t="s">
        <v>23</v>
      </c>
      <c r="G118" s="141">
        <v>42129.0</v>
      </c>
      <c r="H118" s="138"/>
      <c r="I118" s="138"/>
      <c r="J118" s="138"/>
      <c r="K118" s="138"/>
      <c r="L118" s="138"/>
      <c r="M118" s="139"/>
    </row>
    <row r="119">
      <c r="A119" s="140">
        <v>2023.0</v>
      </c>
      <c r="B119" s="137" t="s">
        <v>133</v>
      </c>
      <c r="C119" s="137" t="s">
        <v>74</v>
      </c>
      <c r="D119" s="137" t="s">
        <v>27</v>
      </c>
      <c r="E119" s="137" t="s">
        <v>138</v>
      </c>
      <c r="F119" s="137" t="s">
        <v>22</v>
      </c>
      <c r="G119" s="141">
        <v>46101.0</v>
      </c>
      <c r="H119" s="138"/>
      <c r="I119" s="138"/>
      <c r="J119" s="138"/>
      <c r="K119" s="138"/>
      <c r="L119" s="138"/>
      <c r="M119" s="139"/>
    </row>
    <row r="120">
      <c r="A120" s="140">
        <v>2023.0</v>
      </c>
      <c r="B120" s="137" t="s">
        <v>125</v>
      </c>
      <c r="C120" s="137" t="s">
        <v>75</v>
      </c>
      <c r="D120" s="137" t="s">
        <v>26</v>
      </c>
      <c r="E120" s="137" t="s">
        <v>126</v>
      </c>
      <c r="F120" s="137" t="s">
        <v>20</v>
      </c>
      <c r="G120" s="141">
        <v>13688.0</v>
      </c>
      <c r="H120" s="138"/>
      <c r="I120" s="138"/>
      <c r="J120" s="138"/>
      <c r="K120" s="138"/>
      <c r="L120" s="138"/>
      <c r="M120" s="139"/>
    </row>
    <row r="121">
      <c r="A121" s="140">
        <v>2023.0</v>
      </c>
      <c r="B121" s="137" t="s">
        <v>125</v>
      </c>
      <c r="C121" s="137" t="s">
        <v>75</v>
      </c>
      <c r="D121" s="137" t="s">
        <v>25</v>
      </c>
      <c r="E121" s="137" t="s">
        <v>138</v>
      </c>
      <c r="F121" s="137" t="s">
        <v>21</v>
      </c>
      <c r="G121" s="141">
        <v>62175.0</v>
      </c>
      <c r="H121" s="138"/>
      <c r="I121" s="138"/>
      <c r="J121" s="138"/>
      <c r="K121" s="138"/>
      <c r="L121" s="138"/>
      <c r="M121" s="139"/>
    </row>
    <row r="122">
      <c r="A122" s="140">
        <v>2023.0</v>
      </c>
      <c r="B122" s="137" t="s">
        <v>125</v>
      </c>
      <c r="C122" s="137" t="s">
        <v>75</v>
      </c>
      <c r="D122" s="137" t="s">
        <v>27</v>
      </c>
      <c r="E122" s="137" t="s">
        <v>138</v>
      </c>
      <c r="F122" s="137" t="s">
        <v>21</v>
      </c>
      <c r="G122" s="141">
        <v>165095.0</v>
      </c>
      <c r="H122" s="138"/>
      <c r="I122" s="138"/>
      <c r="J122" s="138"/>
      <c r="K122" s="138"/>
      <c r="L122" s="138"/>
      <c r="M122" s="139"/>
    </row>
    <row r="123">
      <c r="A123" s="140">
        <v>2023.0</v>
      </c>
      <c r="B123" s="137" t="s">
        <v>125</v>
      </c>
      <c r="C123" s="137" t="s">
        <v>75</v>
      </c>
      <c r="D123" s="137" t="s">
        <v>27</v>
      </c>
      <c r="E123" s="137" t="s">
        <v>138</v>
      </c>
      <c r="F123" s="137" t="s">
        <v>20</v>
      </c>
      <c r="G123" s="141">
        <v>67875.0</v>
      </c>
      <c r="H123" s="138"/>
      <c r="I123" s="138"/>
      <c r="J123" s="138"/>
      <c r="K123" s="138"/>
      <c r="L123" s="138"/>
      <c r="M123" s="139"/>
    </row>
    <row r="124">
      <c r="A124" s="140">
        <v>2023.0</v>
      </c>
      <c r="B124" s="137" t="s">
        <v>125</v>
      </c>
      <c r="C124" s="137" t="s">
        <v>75</v>
      </c>
      <c r="D124" s="137" t="s">
        <v>25</v>
      </c>
      <c r="E124" s="137" t="s">
        <v>138</v>
      </c>
      <c r="F124" s="137" t="s">
        <v>20</v>
      </c>
      <c r="G124" s="141">
        <v>50796.0</v>
      </c>
      <c r="H124" s="138"/>
      <c r="I124" s="138"/>
      <c r="J124" s="138"/>
      <c r="K124" s="138"/>
      <c r="L124" s="138"/>
      <c r="M124" s="139"/>
    </row>
    <row r="125">
      <c r="A125" s="140">
        <v>2023.0</v>
      </c>
      <c r="B125" s="137" t="s">
        <v>125</v>
      </c>
      <c r="C125" s="137" t="s">
        <v>75</v>
      </c>
      <c r="D125" s="137" t="s">
        <v>27</v>
      </c>
      <c r="E125" s="137" t="s">
        <v>138</v>
      </c>
      <c r="F125" s="137" t="s">
        <v>23</v>
      </c>
      <c r="G125" s="141">
        <v>19251.0</v>
      </c>
      <c r="H125" s="138"/>
      <c r="I125" s="138"/>
      <c r="J125" s="138"/>
      <c r="K125" s="138"/>
      <c r="L125" s="138"/>
      <c r="M125" s="139"/>
    </row>
    <row r="126">
      <c r="A126" s="140">
        <v>2023.0</v>
      </c>
      <c r="B126" s="137" t="s">
        <v>125</v>
      </c>
      <c r="C126" s="137" t="s">
        <v>75</v>
      </c>
      <c r="D126" s="137" t="s">
        <v>27</v>
      </c>
      <c r="E126" s="137" t="s">
        <v>138</v>
      </c>
      <c r="F126" s="137" t="s">
        <v>22</v>
      </c>
      <c r="G126" s="141">
        <v>51608.0</v>
      </c>
      <c r="H126" s="138"/>
      <c r="I126" s="138"/>
      <c r="J126" s="138"/>
      <c r="K126" s="138"/>
      <c r="L126" s="138"/>
      <c r="M126" s="139"/>
    </row>
    <row r="127">
      <c r="A127" s="140">
        <v>2023.0</v>
      </c>
      <c r="B127" s="137" t="s">
        <v>125</v>
      </c>
      <c r="C127" s="137" t="s">
        <v>75</v>
      </c>
      <c r="D127" s="137" t="s">
        <v>28</v>
      </c>
      <c r="E127" s="137" t="s">
        <v>126</v>
      </c>
      <c r="F127" s="137" t="s">
        <v>23</v>
      </c>
      <c r="G127" s="141">
        <v>0.0</v>
      </c>
      <c r="H127" s="138"/>
      <c r="I127" s="138"/>
      <c r="J127" s="138"/>
      <c r="K127" s="138"/>
      <c r="L127" s="138"/>
      <c r="M127" s="139"/>
    </row>
    <row r="128">
      <c r="A128" s="140">
        <v>2023.0</v>
      </c>
      <c r="B128" s="137" t="s">
        <v>129</v>
      </c>
      <c r="C128" s="137" t="s">
        <v>76</v>
      </c>
      <c r="D128" s="137" t="s">
        <v>26</v>
      </c>
      <c r="E128" s="137" t="s">
        <v>126</v>
      </c>
      <c r="F128" s="137" t="s">
        <v>20</v>
      </c>
      <c r="G128" s="141">
        <v>17997.0</v>
      </c>
      <c r="H128" s="138"/>
      <c r="I128" s="138"/>
      <c r="J128" s="138"/>
      <c r="K128" s="138"/>
      <c r="L128" s="138"/>
      <c r="M128" s="139"/>
    </row>
    <row r="129">
      <c r="A129" s="140">
        <v>2023.0</v>
      </c>
      <c r="B129" s="137" t="s">
        <v>129</v>
      </c>
      <c r="C129" s="137" t="s">
        <v>76</v>
      </c>
      <c r="D129" s="137" t="s">
        <v>25</v>
      </c>
      <c r="E129" s="137" t="s">
        <v>138</v>
      </c>
      <c r="F129" s="137" t="s">
        <v>21</v>
      </c>
      <c r="G129" s="141">
        <v>89364.0</v>
      </c>
      <c r="H129" s="138"/>
      <c r="I129" s="138"/>
      <c r="J129" s="138"/>
      <c r="K129" s="138"/>
      <c r="L129" s="138"/>
      <c r="M129" s="139"/>
    </row>
    <row r="130">
      <c r="A130" s="140">
        <v>2023.0</v>
      </c>
      <c r="B130" s="137" t="s">
        <v>129</v>
      </c>
      <c r="C130" s="137" t="s">
        <v>76</v>
      </c>
      <c r="D130" s="137" t="s">
        <v>27</v>
      </c>
      <c r="E130" s="137" t="s">
        <v>138</v>
      </c>
      <c r="F130" s="137" t="s">
        <v>21</v>
      </c>
      <c r="G130" s="141">
        <v>170795.0</v>
      </c>
      <c r="H130" s="138"/>
      <c r="I130" s="138"/>
      <c r="J130" s="138"/>
      <c r="K130" s="138"/>
      <c r="L130" s="138"/>
      <c r="M130" s="139"/>
    </row>
    <row r="131">
      <c r="A131" s="140">
        <v>2023.0</v>
      </c>
      <c r="B131" s="137" t="s">
        <v>129</v>
      </c>
      <c r="C131" s="137" t="s">
        <v>76</v>
      </c>
      <c r="D131" s="137" t="s">
        <v>27</v>
      </c>
      <c r="E131" s="137" t="s">
        <v>138</v>
      </c>
      <c r="F131" s="137" t="s">
        <v>20</v>
      </c>
      <c r="G131" s="141">
        <v>68067.0</v>
      </c>
      <c r="H131" s="138"/>
      <c r="I131" s="138"/>
      <c r="J131" s="138"/>
      <c r="K131" s="138"/>
      <c r="L131" s="138"/>
      <c r="M131" s="139"/>
    </row>
    <row r="132">
      <c r="A132" s="140">
        <v>2023.0</v>
      </c>
      <c r="B132" s="137" t="s">
        <v>129</v>
      </c>
      <c r="C132" s="137" t="s">
        <v>76</v>
      </c>
      <c r="D132" s="137" t="s">
        <v>25</v>
      </c>
      <c r="E132" s="137" t="s">
        <v>138</v>
      </c>
      <c r="F132" s="137" t="s">
        <v>20</v>
      </c>
      <c r="G132" s="141">
        <v>48306.0</v>
      </c>
      <c r="H132" s="138"/>
      <c r="I132" s="138"/>
      <c r="J132" s="138"/>
      <c r="K132" s="138"/>
      <c r="L132" s="138"/>
      <c r="M132" s="139"/>
    </row>
    <row r="133">
      <c r="A133" s="140">
        <v>2023.0</v>
      </c>
      <c r="B133" s="137" t="s">
        <v>129</v>
      </c>
      <c r="C133" s="137" t="s">
        <v>76</v>
      </c>
      <c r="D133" s="137" t="s">
        <v>27</v>
      </c>
      <c r="E133" s="137" t="s">
        <v>138</v>
      </c>
      <c r="F133" s="137" t="s">
        <v>23</v>
      </c>
      <c r="G133" s="141">
        <v>39339.0</v>
      </c>
      <c r="H133" s="138"/>
      <c r="I133" s="138"/>
      <c r="J133" s="138"/>
      <c r="K133" s="138"/>
      <c r="L133" s="138"/>
      <c r="M133" s="139"/>
    </row>
    <row r="134">
      <c r="A134" s="140">
        <v>2023.0</v>
      </c>
      <c r="B134" s="137" t="s">
        <v>129</v>
      </c>
      <c r="C134" s="137" t="s">
        <v>76</v>
      </c>
      <c r="D134" s="137" t="s">
        <v>27</v>
      </c>
      <c r="E134" s="137" t="s">
        <v>138</v>
      </c>
      <c r="F134" s="137" t="s">
        <v>22</v>
      </c>
      <c r="G134" s="141">
        <v>60906.0</v>
      </c>
      <c r="H134" s="138"/>
      <c r="I134" s="138"/>
      <c r="J134" s="138"/>
      <c r="K134" s="138"/>
      <c r="L134" s="138"/>
      <c r="M134" s="139"/>
    </row>
    <row r="135">
      <c r="A135" s="140">
        <v>2023.0</v>
      </c>
      <c r="B135" s="137" t="s">
        <v>129</v>
      </c>
      <c r="C135" s="137" t="s">
        <v>76</v>
      </c>
      <c r="D135" s="137" t="s">
        <v>28</v>
      </c>
      <c r="E135" s="137" t="s">
        <v>126</v>
      </c>
      <c r="F135" s="137" t="s">
        <v>23</v>
      </c>
      <c r="G135" s="141">
        <v>215.0</v>
      </c>
      <c r="H135" s="138"/>
      <c r="I135" s="138"/>
      <c r="J135" s="138"/>
      <c r="K135" s="138"/>
      <c r="L135" s="138"/>
      <c r="M135" s="139"/>
    </row>
    <row r="136">
      <c r="A136" s="140">
        <v>2024.0</v>
      </c>
      <c r="B136" s="137" t="s">
        <v>132</v>
      </c>
      <c r="C136" s="137" t="s">
        <v>77</v>
      </c>
      <c r="D136" s="137" t="s">
        <v>26</v>
      </c>
      <c r="E136" s="137" t="s">
        <v>126</v>
      </c>
      <c r="F136" s="137" t="s">
        <v>20</v>
      </c>
      <c r="G136" s="141">
        <v>17824.0</v>
      </c>
      <c r="H136" s="138"/>
      <c r="I136" s="138"/>
      <c r="J136" s="138"/>
      <c r="K136" s="138"/>
      <c r="L136" s="138"/>
      <c r="M136" s="139"/>
    </row>
    <row r="137">
      <c r="A137" s="140">
        <v>2024.0</v>
      </c>
      <c r="B137" s="137" t="s">
        <v>132</v>
      </c>
      <c r="C137" s="137" t="s">
        <v>77</v>
      </c>
      <c r="D137" s="137" t="s">
        <v>25</v>
      </c>
      <c r="E137" s="137" t="s">
        <v>138</v>
      </c>
      <c r="F137" s="137" t="s">
        <v>21</v>
      </c>
      <c r="G137" s="141">
        <v>82907.0</v>
      </c>
      <c r="H137" s="138"/>
      <c r="I137" s="138"/>
      <c r="J137" s="138"/>
      <c r="K137" s="138"/>
      <c r="L137" s="138"/>
      <c r="M137" s="139"/>
    </row>
    <row r="138">
      <c r="A138" s="140">
        <v>2024.0</v>
      </c>
      <c r="B138" s="137" t="s">
        <v>132</v>
      </c>
      <c r="C138" s="137" t="s">
        <v>77</v>
      </c>
      <c r="D138" s="137" t="s">
        <v>27</v>
      </c>
      <c r="E138" s="137" t="s">
        <v>138</v>
      </c>
      <c r="F138" s="137" t="s">
        <v>21</v>
      </c>
      <c r="G138" s="141">
        <v>140741.0</v>
      </c>
      <c r="H138" s="138"/>
      <c r="I138" s="138"/>
      <c r="J138" s="138"/>
      <c r="K138" s="138"/>
      <c r="L138" s="138"/>
      <c r="M138" s="139"/>
    </row>
    <row r="139">
      <c r="A139" s="140">
        <v>2024.0</v>
      </c>
      <c r="B139" s="137" t="s">
        <v>132</v>
      </c>
      <c r="C139" s="137" t="s">
        <v>77</v>
      </c>
      <c r="D139" s="137" t="s">
        <v>27</v>
      </c>
      <c r="E139" s="137" t="s">
        <v>138</v>
      </c>
      <c r="F139" s="137" t="s">
        <v>20</v>
      </c>
      <c r="G139" s="141">
        <v>63015.0</v>
      </c>
      <c r="H139" s="138"/>
      <c r="I139" s="138"/>
      <c r="J139" s="138"/>
      <c r="K139" s="138"/>
      <c r="L139" s="138"/>
      <c r="M139" s="139"/>
    </row>
    <row r="140">
      <c r="A140" s="140">
        <v>2024.0</v>
      </c>
      <c r="B140" s="137" t="s">
        <v>132</v>
      </c>
      <c r="C140" s="137" t="s">
        <v>77</v>
      </c>
      <c r="D140" s="137" t="s">
        <v>25</v>
      </c>
      <c r="E140" s="137" t="s">
        <v>138</v>
      </c>
      <c r="F140" s="137" t="s">
        <v>20</v>
      </c>
      <c r="G140" s="141">
        <v>17756.0</v>
      </c>
      <c r="H140" s="138"/>
      <c r="I140" s="138"/>
      <c r="J140" s="138"/>
      <c r="K140" s="138"/>
      <c r="L140" s="138"/>
      <c r="M140" s="139"/>
    </row>
    <row r="141">
      <c r="A141" s="140">
        <v>2024.0</v>
      </c>
      <c r="B141" s="137" t="s">
        <v>132</v>
      </c>
      <c r="C141" s="137" t="s">
        <v>77</v>
      </c>
      <c r="D141" s="137" t="s">
        <v>27</v>
      </c>
      <c r="E141" s="137" t="s">
        <v>138</v>
      </c>
      <c r="F141" s="137" t="s">
        <v>23</v>
      </c>
      <c r="G141" s="141">
        <v>54720.0</v>
      </c>
      <c r="H141" s="138"/>
      <c r="I141" s="138"/>
      <c r="J141" s="138"/>
      <c r="K141" s="138"/>
      <c r="L141" s="138"/>
      <c r="M141" s="139"/>
    </row>
    <row r="142">
      <c r="A142" s="140">
        <v>2024.0</v>
      </c>
      <c r="B142" s="137" t="s">
        <v>132</v>
      </c>
      <c r="C142" s="137" t="s">
        <v>77</v>
      </c>
      <c r="D142" s="137" t="s">
        <v>27</v>
      </c>
      <c r="E142" s="137" t="s">
        <v>138</v>
      </c>
      <c r="F142" s="137" t="s">
        <v>22</v>
      </c>
      <c r="G142" s="141">
        <v>53237.0</v>
      </c>
      <c r="H142" s="138"/>
      <c r="I142" s="138"/>
      <c r="J142" s="138"/>
      <c r="K142" s="138"/>
      <c r="L142" s="138"/>
      <c r="M142" s="139"/>
    </row>
    <row r="143">
      <c r="A143" s="140">
        <v>2024.0</v>
      </c>
      <c r="B143" s="137" t="s">
        <v>132</v>
      </c>
      <c r="C143" s="137" t="s">
        <v>77</v>
      </c>
      <c r="D143" s="137" t="s">
        <v>28</v>
      </c>
      <c r="E143" s="137" t="s">
        <v>126</v>
      </c>
      <c r="F143" s="137" t="s">
        <v>23</v>
      </c>
      <c r="G143" s="141">
        <v>3171.0</v>
      </c>
      <c r="H143" s="138"/>
      <c r="I143" s="138"/>
      <c r="J143" s="138"/>
      <c r="K143" s="138"/>
      <c r="L143" s="138"/>
      <c r="M143" s="139"/>
    </row>
    <row r="144">
      <c r="A144" s="140">
        <v>2024.0</v>
      </c>
      <c r="B144" s="137" t="s">
        <v>133</v>
      </c>
      <c r="C144" s="137" t="s">
        <v>78</v>
      </c>
      <c r="D144" s="137" t="s">
        <v>26</v>
      </c>
      <c r="E144" s="137" t="s">
        <v>126</v>
      </c>
      <c r="F144" s="137" t="s">
        <v>20</v>
      </c>
      <c r="G144" s="141">
        <v>12933.0</v>
      </c>
      <c r="H144" s="138"/>
      <c r="I144" s="138"/>
      <c r="J144" s="138"/>
      <c r="K144" s="138"/>
      <c r="L144" s="138"/>
      <c r="M144" s="139"/>
    </row>
    <row r="145">
      <c r="A145" s="140">
        <v>2024.0</v>
      </c>
      <c r="B145" s="137" t="s">
        <v>133</v>
      </c>
      <c r="C145" s="137" t="s">
        <v>78</v>
      </c>
      <c r="D145" s="137" t="s">
        <v>25</v>
      </c>
      <c r="E145" s="137" t="s">
        <v>138</v>
      </c>
      <c r="F145" s="137" t="s">
        <v>21</v>
      </c>
      <c r="G145" s="141">
        <v>79853.0</v>
      </c>
      <c r="H145" s="138"/>
      <c r="I145" s="138"/>
      <c r="J145" s="138"/>
      <c r="K145" s="138"/>
      <c r="L145" s="138"/>
      <c r="M145" s="139"/>
    </row>
    <row r="146">
      <c r="A146" s="140">
        <v>2024.0</v>
      </c>
      <c r="B146" s="137" t="s">
        <v>133</v>
      </c>
      <c r="C146" s="137" t="s">
        <v>78</v>
      </c>
      <c r="D146" s="137" t="s">
        <v>27</v>
      </c>
      <c r="E146" s="137" t="s">
        <v>138</v>
      </c>
      <c r="F146" s="137" t="s">
        <v>21</v>
      </c>
      <c r="G146" s="141">
        <v>111446.0</v>
      </c>
      <c r="H146" s="138"/>
      <c r="I146" s="138"/>
      <c r="J146" s="138"/>
      <c r="K146" s="138"/>
      <c r="L146" s="138"/>
      <c r="M146" s="139"/>
    </row>
    <row r="147">
      <c r="A147" s="140">
        <v>2024.0</v>
      </c>
      <c r="B147" s="137" t="s">
        <v>133</v>
      </c>
      <c r="C147" s="137" t="s">
        <v>78</v>
      </c>
      <c r="D147" s="137" t="s">
        <v>27</v>
      </c>
      <c r="E147" s="137" t="s">
        <v>138</v>
      </c>
      <c r="F147" s="137" t="s">
        <v>20</v>
      </c>
      <c r="G147" s="141">
        <v>63111.0</v>
      </c>
      <c r="H147" s="138"/>
      <c r="I147" s="138"/>
      <c r="J147" s="138"/>
      <c r="K147" s="138"/>
      <c r="L147" s="138"/>
      <c r="M147" s="139"/>
    </row>
    <row r="148">
      <c r="A148" s="140">
        <v>2024.0</v>
      </c>
      <c r="B148" s="137" t="s">
        <v>133</v>
      </c>
      <c r="C148" s="137" t="s">
        <v>78</v>
      </c>
      <c r="D148" s="137" t="s">
        <v>25</v>
      </c>
      <c r="E148" s="137" t="s">
        <v>138</v>
      </c>
      <c r="F148" s="137" t="s">
        <v>20</v>
      </c>
      <c r="G148" s="141">
        <v>53075.0</v>
      </c>
      <c r="H148" s="138"/>
      <c r="I148" s="138"/>
      <c r="J148" s="138"/>
      <c r="K148" s="138"/>
      <c r="L148" s="138"/>
      <c r="M148" s="139"/>
    </row>
    <row r="149">
      <c r="A149" s="140">
        <v>2024.0</v>
      </c>
      <c r="B149" s="137" t="s">
        <v>133</v>
      </c>
      <c r="C149" s="137" t="s">
        <v>78</v>
      </c>
      <c r="D149" s="137" t="s">
        <v>27</v>
      </c>
      <c r="E149" s="137" t="s">
        <v>138</v>
      </c>
      <c r="F149" s="137" t="s">
        <v>23</v>
      </c>
      <c r="G149" s="141">
        <v>32015.0</v>
      </c>
      <c r="H149" s="138"/>
      <c r="I149" s="138"/>
      <c r="J149" s="138"/>
      <c r="K149" s="138"/>
      <c r="L149" s="138"/>
      <c r="M149" s="139"/>
    </row>
    <row r="150">
      <c r="A150" s="140">
        <v>2024.0</v>
      </c>
      <c r="B150" s="137" t="s">
        <v>133</v>
      </c>
      <c r="C150" s="137" t="s">
        <v>78</v>
      </c>
      <c r="D150" s="137" t="s">
        <v>27</v>
      </c>
      <c r="E150" s="137" t="s">
        <v>138</v>
      </c>
      <c r="F150" s="137" t="s">
        <v>22</v>
      </c>
      <c r="G150" s="141">
        <v>47076.0</v>
      </c>
      <c r="H150" s="138"/>
      <c r="I150" s="138"/>
      <c r="J150" s="138"/>
      <c r="K150" s="138"/>
      <c r="L150" s="138"/>
      <c r="M150" s="139"/>
    </row>
    <row r="151">
      <c r="A151" s="140">
        <v>2024.0</v>
      </c>
      <c r="B151" s="137" t="s">
        <v>133</v>
      </c>
      <c r="C151" s="137" t="s">
        <v>78</v>
      </c>
      <c r="D151" s="137" t="s">
        <v>28</v>
      </c>
      <c r="E151" s="137" t="s">
        <v>126</v>
      </c>
      <c r="F151" s="137" t="s">
        <v>23</v>
      </c>
      <c r="G151" s="141">
        <v>11322.0</v>
      </c>
      <c r="H151" s="138"/>
      <c r="I151" s="138"/>
      <c r="J151" s="138"/>
      <c r="K151" s="138"/>
      <c r="L151" s="138"/>
      <c r="M151" s="139"/>
    </row>
    <row r="152">
      <c r="A152" s="140">
        <v>2024.0</v>
      </c>
      <c r="B152" s="137" t="s">
        <v>125</v>
      </c>
      <c r="C152" s="137" t="s">
        <v>79</v>
      </c>
      <c r="D152" s="137" t="s">
        <v>26</v>
      </c>
      <c r="E152" s="137" t="s">
        <v>126</v>
      </c>
      <c r="F152" s="137" t="s">
        <v>20</v>
      </c>
      <c r="G152" s="141">
        <v>11012.0</v>
      </c>
      <c r="H152" s="138"/>
      <c r="I152" s="138"/>
      <c r="J152" s="138"/>
      <c r="K152" s="138"/>
      <c r="L152" s="138"/>
      <c r="M152" s="139"/>
    </row>
    <row r="153">
      <c r="A153" s="140">
        <v>2024.0</v>
      </c>
      <c r="B153" s="137" t="s">
        <v>125</v>
      </c>
      <c r="C153" s="137" t="s">
        <v>79</v>
      </c>
      <c r="D153" s="137" t="s">
        <v>25</v>
      </c>
      <c r="E153" s="137" t="s">
        <v>138</v>
      </c>
      <c r="F153" s="137" t="s">
        <v>21</v>
      </c>
      <c r="G153" s="141">
        <v>97388.0</v>
      </c>
      <c r="H153" s="138"/>
      <c r="I153" s="138"/>
      <c r="J153" s="138"/>
      <c r="K153" s="138"/>
      <c r="L153" s="138"/>
      <c r="M153" s="139"/>
    </row>
    <row r="154">
      <c r="A154" s="140">
        <v>2024.0</v>
      </c>
      <c r="B154" s="137" t="s">
        <v>125</v>
      </c>
      <c r="C154" s="137" t="s">
        <v>79</v>
      </c>
      <c r="D154" s="137" t="s">
        <v>27</v>
      </c>
      <c r="E154" s="137" t="s">
        <v>138</v>
      </c>
      <c r="F154" s="137" t="s">
        <v>21</v>
      </c>
      <c r="G154" s="141">
        <v>153615.0</v>
      </c>
      <c r="H154" s="138"/>
      <c r="I154" s="138"/>
      <c r="J154" s="138"/>
      <c r="K154" s="138"/>
      <c r="L154" s="138"/>
      <c r="M154" s="139"/>
    </row>
    <row r="155">
      <c r="A155" s="140">
        <v>2024.0</v>
      </c>
      <c r="B155" s="137" t="s">
        <v>125</v>
      </c>
      <c r="C155" s="137" t="s">
        <v>79</v>
      </c>
      <c r="D155" s="137" t="s">
        <v>27</v>
      </c>
      <c r="E155" s="137" t="s">
        <v>138</v>
      </c>
      <c r="F155" s="137" t="s">
        <v>20</v>
      </c>
      <c r="G155" s="141">
        <v>60795.0</v>
      </c>
      <c r="H155" s="138"/>
      <c r="I155" s="138"/>
      <c r="J155" s="138"/>
      <c r="K155" s="138"/>
      <c r="L155" s="138"/>
      <c r="M155" s="139"/>
    </row>
    <row r="156">
      <c r="A156" s="140">
        <v>2024.0</v>
      </c>
      <c r="B156" s="137" t="s">
        <v>125</v>
      </c>
      <c r="C156" s="137" t="s">
        <v>79</v>
      </c>
      <c r="D156" s="137" t="s">
        <v>25</v>
      </c>
      <c r="E156" s="137" t="s">
        <v>138</v>
      </c>
      <c r="F156" s="137" t="s">
        <v>20</v>
      </c>
      <c r="G156" s="141">
        <v>53365.0</v>
      </c>
      <c r="H156" s="138"/>
      <c r="I156" s="138"/>
      <c r="J156" s="138"/>
      <c r="K156" s="138"/>
      <c r="L156" s="138"/>
      <c r="M156" s="139"/>
    </row>
    <row r="157">
      <c r="A157" s="140">
        <v>2024.0</v>
      </c>
      <c r="B157" s="137" t="s">
        <v>125</v>
      </c>
      <c r="C157" s="137" t="s">
        <v>79</v>
      </c>
      <c r="D157" s="137" t="s">
        <v>27</v>
      </c>
      <c r="E157" s="137" t="s">
        <v>138</v>
      </c>
      <c r="F157" s="137" t="s">
        <v>23</v>
      </c>
      <c r="G157" s="141">
        <v>26285.0</v>
      </c>
      <c r="H157" s="138"/>
      <c r="I157" s="138"/>
      <c r="J157" s="138"/>
      <c r="K157" s="138"/>
      <c r="L157" s="138"/>
      <c r="M157" s="139"/>
    </row>
    <row r="158">
      <c r="A158" s="140">
        <v>2024.0</v>
      </c>
      <c r="B158" s="137" t="s">
        <v>125</v>
      </c>
      <c r="C158" s="137" t="s">
        <v>79</v>
      </c>
      <c r="D158" s="137" t="s">
        <v>27</v>
      </c>
      <c r="E158" s="137" t="s">
        <v>138</v>
      </c>
      <c r="F158" s="137" t="s">
        <v>22</v>
      </c>
      <c r="G158" s="141">
        <v>52220.0</v>
      </c>
      <c r="H158" s="138"/>
      <c r="I158" s="138"/>
      <c r="J158" s="138"/>
      <c r="K158" s="138"/>
      <c r="L158" s="138"/>
      <c r="M158" s="139"/>
    </row>
    <row r="159">
      <c r="A159" s="140">
        <v>2024.0</v>
      </c>
      <c r="B159" s="137" t="s">
        <v>125</v>
      </c>
      <c r="C159" s="137" t="s">
        <v>79</v>
      </c>
      <c r="D159" s="137" t="s">
        <v>28</v>
      </c>
      <c r="E159" s="137" t="s">
        <v>126</v>
      </c>
      <c r="F159" s="137" t="s">
        <v>23</v>
      </c>
      <c r="G159" s="141">
        <v>15116.0</v>
      </c>
      <c r="H159" s="138"/>
      <c r="I159" s="138"/>
      <c r="J159" s="138"/>
      <c r="K159" s="138"/>
      <c r="L159" s="138"/>
      <c r="M159" s="139"/>
    </row>
    <row r="160">
      <c r="A160" s="140">
        <v>2024.0</v>
      </c>
      <c r="B160" s="137" t="s">
        <v>129</v>
      </c>
      <c r="C160" s="137" t="s">
        <v>80</v>
      </c>
      <c r="D160" s="137" t="s">
        <v>26</v>
      </c>
      <c r="E160" s="137" t="s">
        <v>126</v>
      </c>
      <c r="F160" s="137" t="s">
        <v>20</v>
      </c>
      <c r="G160" s="141">
        <v>11508.0</v>
      </c>
      <c r="H160" s="138"/>
      <c r="I160" s="138"/>
      <c r="J160" s="138"/>
      <c r="K160" s="138"/>
      <c r="L160" s="138"/>
      <c r="M160" s="139"/>
    </row>
    <row r="161">
      <c r="A161" s="140">
        <v>2024.0</v>
      </c>
      <c r="B161" s="137" t="s">
        <v>129</v>
      </c>
      <c r="C161" s="137" t="s">
        <v>80</v>
      </c>
      <c r="D161" s="137" t="s">
        <v>25</v>
      </c>
      <c r="E161" s="137" t="s">
        <v>138</v>
      </c>
      <c r="F161" s="137" t="s">
        <v>21</v>
      </c>
      <c r="G161" s="141">
        <v>96375.0</v>
      </c>
      <c r="H161" s="138"/>
      <c r="I161" s="138"/>
      <c r="J161" s="138"/>
      <c r="K161" s="138"/>
      <c r="L161" s="138"/>
      <c r="M161" s="139"/>
    </row>
    <row r="162">
      <c r="A162" s="140">
        <v>2024.0</v>
      </c>
      <c r="B162" s="137" t="s">
        <v>129</v>
      </c>
      <c r="C162" s="137" t="s">
        <v>80</v>
      </c>
      <c r="D162" s="137" t="s">
        <v>27</v>
      </c>
      <c r="E162" s="137" t="s">
        <v>138</v>
      </c>
      <c r="F162" s="137" t="s">
        <v>21</v>
      </c>
      <c r="G162" s="141">
        <v>150201.0</v>
      </c>
      <c r="H162" s="138"/>
      <c r="I162" s="138"/>
      <c r="J162" s="138"/>
      <c r="K162" s="138"/>
      <c r="L162" s="138"/>
      <c r="M162" s="139"/>
    </row>
    <row r="163">
      <c r="A163" s="140">
        <v>2024.0</v>
      </c>
      <c r="B163" s="137" t="s">
        <v>129</v>
      </c>
      <c r="C163" s="137" t="s">
        <v>80</v>
      </c>
      <c r="D163" s="137" t="s">
        <v>27</v>
      </c>
      <c r="E163" s="137" t="s">
        <v>138</v>
      </c>
      <c r="F163" s="137" t="s">
        <v>20</v>
      </c>
      <c r="G163" s="141">
        <v>60795.0</v>
      </c>
      <c r="H163" s="138"/>
      <c r="I163" s="138"/>
      <c r="J163" s="138"/>
      <c r="K163" s="138"/>
      <c r="L163" s="138"/>
      <c r="M163" s="139"/>
    </row>
    <row r="164">
      <c r="A164" s="140">
        <v>2024.0</v>
      </c>
      <c r="B164" s="137" t="s">
        <v>129</v>
      </c>
      <c r="C164" s="137" t="s">
        <v>80</v>
      </c>
      <c r="D164" s="137" t="s">
        <v>25</v>
      </c>
      <c r="E164" s="137" t="s">
        <v>138</v>
      </c>
      <c r="F164" s="137" t="s">
        <v>20</v>
      </c>
      <c r="G164" s="141">
        <v>51338.0</v>
      </c>
      <c r="H164" s="138"/>
      <c r="I164" s="138"/>
      <c r="J164" s="138"/>
      <c r="K164" s="138"/>
      <c r="L164" s="138"/>
      <c r="M164" s="139"/>
    </row>
    <row r="165">
      <c r="A165" s="140">
        <v>2024.0</v>
      </c>
      <c r="B165" s="137" t="s">
        <v>129</v>
      </c>
      <c r="C165" s="137" t="s">
        <v>80</v>
      </c>
      <c r="D165" s="137" t="s">
        <v>27</v>
      </c>
      <c r="E165" s="137" t="s">
        <v>138</v>
      </c>
      <c r="F165" s="137" t="s">
        <v>23</v>
      </c>
      <c r="G165" s="141">
        <v>22040.0</v>
      </c>
      <c r="H165" s="138"/>
      <c r="I165" s="138"/>
      <c r="J165" s="138"/>
      <c r="K165" s="138"/>
      <c r="L165" s="138"/>
      <c r="M165" s="139"/>
    </row>
    <row r="166">
      <c r="A166" s="140">
        <v>2024.0</v>
      </c>
      <c r="B166" s="137" t="s">
        <v>129</v>
      </c>
      <c r="C166" s="137" t="s">
        <v>80</v>
      </c>
      <c r="D166" s="137" t="s">
        <v>27</v>
      </c>
      <c r="E166" s="137" t="s">
        <v>138</v>
      </c>
      <c r="F166" s="137" t="s">
        <v>22</v>
      </c>
      <c r="G166" s="141">
        <v>55969.0</v>
      </c>
      <c r="H166" s="138"/>
      <c r="I166" s="138"/>
      <c r="J166" s="138"/>
      <c r="K166" s="138"/>
      <c r="L166" s="138"/>
      <c r="M166" s="139"/>
    </row>
    <row r="167">
      <c r="A167" s="140">
        <v>2024.0</v>
      </c>
      <c r="B167" s="137" t="s">
        <v>129</v>
      </c>
      <c r="C167" s="137" t="s">
        <v>80</v>
      </c>
      <c r="D167" s="137" t="s">
        <v>28</v>
      </c>
      <c r="E167" s="137" t="s">
        <v>126</v>
      </c>
      <c r="F167" s="137" t="s">
        <v>23</v>
      </c>
      <c r="G167" s="141">
        <v>11219.0</v>
      </c>
      <c r="H167" s="138"/>
      <c r="I167" s="138"/>
      <c r="J167" s="138"/>
      <c r="K167" s="138"/>
      <c r="L167" s="138"/>
      <c r="M167" s="139"/>
    </row>
    <row r="168">
      <c r="A168" s="140">
        <v>2025.0</v>
      </c>
      <c r="B168" s="137" t="s">
        <v>132</v>
      </c>
      <c r="C168" s="137" t="s">
        <v>81</v>
      </c>
      <c r="D168" s="137" t="s">
        <v>26</v>
      </c>
      <c r="E168" s="137" t="s">
        <v>126</v>
      </c>
      <c r="F168" s="137" t="s">
        <v>20</v>
      </c>
      <c r="G168" s="141">
        <v>9341.0</v>
      </c>
      <c r="H168" s="138"/>
      <c r="I168" s="138"/>
      <c r="J168" s="138"/>
      <c r="K168" s="138"/>
      <c r="L168" s="138"/>
      <c r="M168" s="139"/>
    </row>
    <row r="169">
      <c r="A169" s="140">
        <v>2025.0</v>
      </c>
      <c r="B169" s="137" t="s">
        <v>132</v>
      </c>
      <c r="C169" s="137" t="s">
        <v>81</v>
      </c>
      <c r="D169" s="137" t="s">
        <v>25</v>
      </c>
      <c r="E169" s="137" t="s">
        <v>138</v>
      </c>
      <c r="F169" s="137" t="s">
        <v>21</v>
      </c>
      <c r="G169" s="141">
        <v>82486.0</v>
      </c>
      <c r="H169" s="138"/>
      <c r="I169" s="138"/>
      <c r="J169" s="138"/>
      <c r="K169" s="138"/>
      <c r="L169" s="138"/>
      <c r="M169" s="139"/>
    </row>
    <row r="170">
      <c r="A170" s="140">
        <v>2025.0</v>
      </c>
      <c r="B170" s="137" t="s">
        <v>132</v>
      </c>
      <c r="C170" s="137" t="s">
        <v>81</v>
      </c>
      <c r="D170" s="137" t="s">
        <v>27</v>
      </c>
      <c r="E170" s="137" t="s">
        <v>138</v>
      </c>
      <c r="F170" s="137" t="s">
        <v>21</v>
      </c>
      <c r="G170" s="141">
        <v>91211.0</v>
      </c>
      <c r="H170" s="138"/>
      <c r="I170" s="138"/>
      <c r="J170" s="138"/>
      <c r="K170" s="138"/>
      <c r="L170" s="138"/>
      <c r="M170" s="139"/>
    </row>
    <row r="171">
      <c r="A171" s="140">
        <v>2025.0</v>
      </c>
      <c r="B171" s="137" t="s">
        <v>132</v>
      </c>
      <c r="C171" s="137" t="s">
        <v>81</v>
      </c>
      <c r="D171" s="137" t="s">
        <v>27</v>
      </c>
      <c r="E171" s="137" t="s">
        <v>138</v>
      </c>
      <c r="F171" s="137" t="s">
        <v>20</v>
      </c>
      <c r="G171" s="141">
        <v>49104.0</v>
      </c>
      <c r="H171" s="138"/>
      <c r="I171" s="138"/>
      <c r="J171" s="138"/>
      <c r="K171" s="138"/>
      <c r="L171" s="138"/>
      <c r="M171" s="139"/>
    </row>
    <row r="172">
      <c r="A172" s="140">
        <v>2025.0</v>
      </c>
      <c r="B172" s="137" t="s">
        <v>132</v>
      </c>
      <c r="C172" s="137" t="s">
        <v>81</v>
      </c>
      <c r="D172" s="137" t="s">
        <v>25</v>
      </c>
      <c r="E172" s="137" t="s">
        <v>138</v>
      </c>
      <c r="F172" s="137" t="s">
        <v>20</v>
      </c>
      <c r="G172" s="141">
        <v>59004.0</v>
      </c>
      <c r="H172" s="138"/>
      <c r="I172" s="138"/>
      <c r="J172" s="138"/>
      <c r="K172" s="138"/>
      <c r="L172" s="138"/>
      <c r="M172" s="139"/>
    </row>
    <row r="173">
      <c r="A173" s="140">
        <v>2025.0</v>
      </c>
      <c r="B173" s="137" t="s">
        <v>132</v>
      </c>
      <c r="C173" s="137" t="s">
        <v>81</v>
      </c>
      <c r="D173" s="137" t="s">
        <v>27</v>
      </c>
      <c r="E173" s="137" t="s">
        <v>138</v>
      </c>
      <c r="F173" s="137" t="s">
        <v>23</v>
      </c>
      <c r="G173" s="141">
        <v>22473.0</v>
      </c>
      <c r="H173" s="138"/>
      <c r="I173" s="138"/>
      <c r="J173" s="138"/>
      <c r="K173" s="138"/>
      <c r="L173" s="138"/>
      <c r="M173" s="139"/>
    </row>
    <row r="174">
      <c r="A174" s="140">
        <v>2025.0</v>
      </c>
      <c r="B174" s="137" t="s">
        <v>132</v>
      </c>
      <c r="C174" s="137" t="s">
        <v>81</v>
      </c>
      <c r="D174" s="137" t="s">
        <v>27</v>
      </c>
      <c r="E174" s="137" t="s">
        <v>138</v>
      </c>
      <c r="F174" s="137" t="s">
        <v>22</v>
      </c>
      <c r="G174" s="141">
        <v>41176.0</v>
      </c>
      <c r="H174" s="138"/>
      <c r="I174" s="138"/>
      <c r="J174" s="138"/>
      <c r="K174" s="138"/>
      <c r="L174" s="138"/>
      <c r="M174" s="139"/>
    </row>
    <row r="175">
      <c r="A175" s="140">
        <v>2025.0</v>
      </c>
      <c r="B175" s="137" t="s">
        <v>132</v>
      </c>
      <c r="C175" s="137" t="s">
        <v>81</v>
      </c>
      <c r="D175" s="137" t="s">
        <v>28</v>
      </c>
      <c r="E175" s="137" t="s">
        <v>126</v>
      </c>
      <c r="F175" s="137" t="s">
        <v>23</v>
      </c>
      <c r="G175" s="141">
        <v>7820.0</v>
      </c>
      <c r="H175" s="138"/>
      <c r="I175" s="138"/>
      <c r="J175" s="138"/>
      <c r="K175" s="138"/>
      <c r="L175" s="138"/>
      <c r="M175" s="139"/>
    </row>
    <row r="176">
      <c r="A176" s="140">
        <v>2025.0</v>
      </c>
      <c r="B176" s="137" t="s">
        <v>133</v>
      </c>
      <c r="C176" s="137" t="s">
        <v>82</v>
      </c>
      <c r="D176" s="137" t="s">
        <v>26</v>
      </c>
      <c r="E176" s="137" t="s">
        <v>126</v>
      </c>
      <c r="F176" s="137" t="s">
        <v>20</v>
      </c>
      <c r="G176" s="141">
        <v>6266.0</v>
      </c>
      <c r="H176" s="138"/>
      <c r="I176" s="138"/>
      <c r="J176" s="138"/>
      <c r="K176" s="138"/>
      <c r="L176" s="138"/>
      <c r="M176" s="139"/>
    </row>
    <row r="177">
      <c r="A177" s="140">
        <v>2025.0</v>
      </c>
      <c r="B177" s="137" t="s">
        <v>133</v>
      </c>
      <c r="C177" s="137" t="s">
        <v>82</v>
      </c>
      <c r="D177" s="137" t="s">
        <v>25</v>
      </c>
      <c r="E177" s="137" t="s">
        <v>138</v>
      </c>
      <c r="F177" s="137" t="s">
        <v>21</v>
      </c>
      <c r="G177" s="141">
        <v>69851.0</v>
      </c>
      <c r="H177" s="138"/>
      <c r="I177" s="138"/>
      <c r="J177" s="138"/>
      <c r="K177" s="138"/>
      <c r="L177" s="138"/>
      <c r="M177" s="139"/>
    </row>
    <row r="178">
      <c r="A178" s="140">
        <v>2025.0</v>
      </c>
      <c r="B178" s="137" t="s">
        <v>133</v>
      </c>
      <c r="C178" s="137" t="s">
        <v>82</v>
      </c>
      <c r="D178" s="137" t="s">
        <v>27</v>
      </c>
      <c r="E178" s="137" t="s">
        <v>138</v>
      </c>
      <c r="F178" s="137" t="s">
        <v>21</v>
      </c>
      <c r="G178" s="141">
        <v>126017.0</v>
      </c>
      <c r="H178" s="138"/>
      <c r="I178" s="138"/>
      <c r="J178" s="138"/>
      <c r="K178" s="138"/>
      <c r="L178" s="138"/>
      <c r="M178" s="139"/>
    </row>
    <row r="179">
      <c r="A179" s="140">
        <v>2025.0</v>
      </c>
      <c r="B179" s="137" t="s">
        <v>133</v>
      </c>
      <c r="C179" s="137" t="s">
        <v>82</v>
      </c>
      <c r="D179" s="137" t="s">
        <v>27</v>
      </c>
      <c r="E179" s="137" t="s">
        <v>138</v>
      </c>
      <c r="F179" s="137" t="s">
        <v>20</v>
      </c>
      <c r="G179" s="141">
        <v>50391.0</v>
      </c>
      <c r="H179" s="138"/>
      <c r="I179" s="138"/>
      <c r="J179" s="138"/>
      <c r="K179" s="138"/>
      <c r="L179" s="138"/>
      <c r="M179" s="139"/>
    </row>
    <row r="180">
      <c r="A180" s="140">
        <v>2025.0</v>
      </c>
      <c r="B180" s="137" t="s">
        <v>133</v>
      </c>
      <c r="C180" s="137" t="s">
        <v>82</v>
      </c>
      <c r="D180" s="137" t="s">
        <v>25</v>
      </c>
      <c r="E180" s="137" t="s">
        <v>138</v>
      </c>
      <c r="F180" s="137" t="s">
        <v>20</v>
      </c>
      <c r="G180" s="141">
        <v>51282.0</v>
      </c>
      <c r="H180" s="138"/>
      <c r="I180" s="138"/>
      <c r="J180" s="138"/>
      <c r="K180" s="138"/>
      <c r="L180" s="138"/>
      <c r="M180" s="139"/>
    </row>
    <row r="181">
      <c r="A181" s="140">
        <v>2025.0</v>
      </c>
      <c r="B181" s="137" t="s">
        <v>133</v>
      </c>
      <c r="C181" s="137" t="s">
        <v>82</v>
      </c>
      <c r="D181" s="137" t="s">
        <v>27</v>
      </c>
      <c r="E181" s="137" t="s">
        <v>138</v>
      </c>
      <c r="F181" s="137" t="s">
        <v>23</v>
      </c>
      <c r="G181" s="141">
        <v>42867.0</v>
      </c>
      <c r="H181" s="138"/>
      <c r="I181" s="138"/>
      <c r="J181" s="138"/>
      <c r="K181" s="138"/>
      <c r="L181" s="138"/>
      <c r="M181" s="139"/>
    </row>
    <row r="182">
      <c r="A182" s="140">
        <v>2025.0</v>
      </c>
      <c r="B182" s="137" t="s">
        <v>133</v>
      </c>
      <c r="C182" s="137" t="s">
        <v>82</v>
      </c>
      <c r="D182" s="137" t="s">
        <v>27</v>
      </c>
      <c r="E182" s="137" t="s">
        <v>138</v>
      </c>
      <c r="F182" s="137" t="s">
        <v>22</v>
      </c>
      <c r="G182" s="141">
        <v>56427.0</v>
      </c>
      <c r="H182" s="138"/>
      <c r="I182" s="138"/>
      <c r="J182" s="138"/>
      <c r="K182" s="138"/>
      <c r="L182" s="138"/>
      <c r="M182" s="139"/>
    </row>
    <row r="183">
      <c r="A183" s="140">
        <v>2025.0</v>
      </c>
      <c r="B183" s="137" t="s">
        <v>133</v>
      </c>
      <c r="C183" s="137" t="s">
        <v>82</v>
      </c>
      <c r="D183" s="137" t="s">
        <v>28</v>
      </c>
      <c r="E183" s="137" t="s">
        <v>126</v>
      </c>
      <c r="F183" s="137" t="s">
        <v>23</v>
      </c>
      <c r="G183" s="141">
        <v>7143.0</v>
      </c>
      <c r="H183" s="138"/>
      <c r="I183" s="138"/>
      <c r="J183" s="138"/>
      <c r="K183" s="138"/>
      <c r="L183" s="138"/>
      <c r="M183" s="139"/>
    </row>
    <row r="184">
      <c r="A184" s="140">
        <v>2025.0</v>
      </c>
      <c r="B184" s="137" t="s">
        <v>125</v>
      </c>
      <c r="C184" s="137" t="s">
        <v>83</v>
      </c>
      <c r="D184" s="137" t="s">
        <v>26</v>
      </c>
      <c r="E184" s="137" t="s">
        <v>126</v>
      </c>
      <c r="F184" s="137" t="s">
        <v>20</v>
      </c>
      <c r="G184" s="141">
        <v>8278.0</v>
      </c>
      <c r="H184" s="138"/>
      <c r="I184" s="138"/>
      <c r="J184" s="138"/>
      <c r="K184" s="138"/>
      <c r="L184" s="138"/>
      <c r="M184" s="139"/>
    </row>
    <row r="185">
      <c r="A185" s="140">
        <v>2025.0</v>
      </c>
      <c r="B185" s="137" t="s">
        <v>125</v>
      </c>
      <c r="C185" s="137" t="s">
        <v>83</v>
      </c>
      <c r="D185" s="137" t="s">
        <v>25</v>
      </c>
      <c r="E185" s="137" t="s">
        <v>138</v>
      </c>
      <c r="F185" s="137" t="s">
        <v>21</v>
      </c>
      <c r="G185" s="141">
        <v>72899.0</v>
      </c>
      <c r="H185" s="138"/>
      <c r="I185" s="138"/>
      <c r="J185" s="138"/>
      <c r="K185" s="138"/>
      <c r="L185" s="138"/>
      <c r="M185" s="139"/>
    </row>
    <row r="186">
      <c r="A186" s="140">
        <v>2025.0</v>
      </c>
      <c r="B186" s="137" t="s">
        <v>125</v>
      </c>
      <c r="C186" s="137" t="s">
        <v>83</v>
      </c>
      <c r="D186" s="137" t="s">
        <v>27</v>
      </c>
      <c r="E186" s="137" t="s">
        <v>138</v>
      </c>
      <c r="F186" s="137" t="s">
        <v>21</v>
      </c>
      <c r="G186" s="141">
        <v>160237.0</v>
      </c>
      <c r="H186" s="138"/>
      <c r="I186" s="138"/>
      <c r="J186" s="138"/>
      <c r="K186" s="138"/>
      <c r="L186" s="138"/>
      <c r="M186" s="139"/>
    </row>
    <row r="187">
      <c r="A187" s="140">
        <v>2025.0</v>
      </c>
      <c r="B187" s="137" t="s">
        <v>125</v>
      </c>
      <c r="C187" s="137" t="s">
        <v>83</v>
      </c>
      <c r="D187" s="137" t="s">
        <v>27</v>
      </c>
      <c r="E187" s="137" t="s">
        <v>138</v>
      </c>
      <c r="F187" s="137" t="s">
        <v>20</v>
      </c>
      <c r="G187" s="141">
        <v>62500.0</v>
      </c>
      <c r="H187" s="138"/>
      <c r="I187" s="138"/>
      <c r="J187" s="138"/>
      <c r="K187" s="138"/>
      <c r="L187" s="138"/>
      <c r="M187" s="139"/>
    </row>
    <row r="188">
      <c r="A188" s="140">
        <v>2025.0</v>
      </c>
      <c r="B188" s="137" t="s">
        <v>125</v>
      </c>
      <c r="C188" s="137" t="s">
        <v>83</v>
      </c>
      <c r="D188" s="137" t="s">
        <v>25</v>
      </c>
      <c r="E188" s="137" t="s">
        <v>138</v>
      </c>
      <c r="F188" s="137" t="s">
        <v>20</v>
      </c>
      <c r="G188" s="141">
        <v>36000.0</v>
      </c>
      <c r="H188" s="138"/>
      <c r="I188" s="138"/>
      <c r="J188" s="138"/>
      <c r="K188" s="138"/>
      <c r="L188" s="138"/>
      <c r="M188" s="139"/>
    </row>
    <row r="189">
      <c r="A189" s="140">
        <v>2025.0</v>
      </c>
      <c r="B189" s="137" t="s">
        <v>125</v>
      </c>
      <c r="C189" s="137" t="s">
        <v>83</v>
      </c>
      <c r="D189" s="137" t="s">
        <v>27</v>
      </c>
      <c r="E189" s="137" t="s">
        <v>138</v>
      </c>
      <c r="F189" s="137" t="s">
        <v>23</v>
      </c>
      <c r="G189" s="141">
        <v>55836.0</v>
      </c>
      <c r="H189" s="138"/>
      <c r="I189" s="138"/>
      <c r="J189" s="138"/>
      <c r="K189" s="138"/>
      <c r="L189" s="138"/>
      <c r="M189" s="139"/>
    </row>
    <row r="190">
      <c r="A190" s="140">
        <v>2025.0</v>
      </c>
      <c r="B190" s="137" t="s">
        <v>125</v>
      </c>
      <c r="C190" s="137" t="s">
        <v>83</v>
      </c>
      <c r="D190" s="137" t="s">
        <v>27</v>
      </c>
      <c r="E190" s="137" t="s">
        <v>138</v>
      </c>
      <c r="F190" s="137" t="s">
        <v>22</v>
      </c>
      <c r="G190" s="141">
        <v>48354.0</v>
      </c>
      <c r="H190" s="138"/>
      <c r="I190" s="138"/>
      <c r="J190" s="138"/>
      <c r="K190" s="138"/>
      <c r="L190" s="138"/>
      <c r="M190" s="139"/>
    </row>
    <row r="191">
      <c r="A191" s="140">
        <v>2025.0</v>
      </c>
      <c r="B191" s="137" t="s">
        <v>125</v>
      </c>
      <c r="C191" s="137" t="s">
        <v>83</v>
      </c>
      <c r="D191" s="137" t="s">
        <v>28</v>
      </c>
      <c r="E191" s="137" t="s">
        <v>126</v>
      </c>
      <c r="F191" s="137" t="s">
        <v>23</v>
      </c>
      <c r="G191" s="141">
        <v>3346.0</v>
      </c>
      <c r="H191" s="138"/>
      <c r="I191" s="138"/>
      <c r="J191" s="138"/>
      <c r="K191" s="138"/>
      <c r="L191" s="138"/>
      <c r="M191" s="139"/>
    </row>
    <row r="192">
      <c r="A192" s="140">
        <v>2025.0</v>
      </c>
      <c r="B192" s="137" t="s">
        <v>129</v>
      </c>
      <c r="C192" s="137" t="s">
        <v>84</v>
      </c>
      <c r="D192" s="137" t="s">
        <v>26</v>
      </c>
      <c r="E192" s="137" t="s">
        <v>126</v>
      </c>
      <c r="F192" s="137" t="s">
        <v>20</v>
      </c>
      <c r="G192" s="141">
        <v>8606.0</v>
      </c>
      <c r="H192" s="138"/>
      <c r="I192" s="138"/>
      <c r="J192" s="138"/>
      <c r="K192" s="138"/>
      <c r="L192" s="138"/>
      <c r="M192" s="139"/>
    </row>
    <row r="193">
      <c r="A193" s="140">
        <v>2025.0</v>
      </c>
      <c r="B193" s="137" t="s">
        <v>129</v>
      </c>
      <c r="C193" s="137" t="s">
        <v>84</v>
      </c>
      <c r="D193" s="137" t="s">
        <v>25</v>
      </c>
      <c r="E193" s="137" t="s">
        <v>138</v>
      </c>
      <c r="F193" s="137" t="s">
        <v>21</v>
      </c>
      <c r="G193" s="141">
        <v>85337.0</v>
      </c>
      <c r="H193" s="138"/>
      <c r="I193" s="138"/>
      <c r="J193" s="138"/>
      <c r="K193" s="138"/>
      <c r="L193" s="138"/>
      <c r="M193" s="139"/>
    </row>
    <row r="194">
      <c r="A194" s="140">
        <v>2025.0</v>
      </c>
      <c r="B194" s="137" t="s">
        <v>129</v>
      </c>
      <c r="C194" s="137" t="s">
        <v>84</v>
      </c>
      <c r="D194" s="137" t="s">
        <v>27</v>
      </c>
      <c r="E194" s="137" t="s">
        <v>138</v>
      </c>
      <c r="F194" s="137" t="s">
        <v>21</v>
      </c>
      <c r="G194" s="141">
        <v>162389.0</v>
      </c>
      <c r="H194" s="138"/>
      <c r="I194" s="138"/>
      <c r="J194" s="138"/>
      <c r="K194" s="138"/>
      <c r="L194" s="138"/>
      <c r="M194" s="139"/>
    </row>
    <row r="195">
      <c r="A195" s="140">
        <v>2025.0</v>
      </c>
      <c r="B195" s="137" t="s">
        <v>129</v>
      </c>
      <c r="C195" s="137" t="s">
        <v>84</v>
      </c>
      <c r="D195" s="137" t="s">
        <v>27</v>
      </c>
      <c r="E195" s="137" t="s">
        <v>138</v>
      </c>
      <c r="F195" s="137" t="s">
        <v>20</v>
      </c>
      <c r="G195" s="141">
        <v>48500.0</v>
      </c>
      <c r="H195" s="138"/>
      <c r="I195" s="138"/>
      <c r="J195" s="138"/>
      <c r="K195" s="138"/>
      <c r="L195" s="138"/>
      <c r="M195" s="139"/>
    </row>
    <row r="196">
      <c r="A196" s="140">
        <v>2025.0</v>
      </c>
      <c r="B196" s="137" t="s">
        <v>129</v>
      </c>
      <c r="C196" s="137" t="s">
        <v>84</v>
      </c>
      <c r="D196" s="137" t="s">
        <v>25</v>
      </c>
      <c r="E196" s="137" t="s">
        <v>138</v>
      </c>
      <c r="F196" s="137" t="s">
        <v>20</v>
      </c>
      <c r="G196" s="141">
        <v>31400.0</v>
      </c>
      <c r="H196" s="138"/>
      <c r="I196" s="138"/>
      <c r="J196" s="138"/>
      <c r="K196" s="138"/>
      <c r="L196" s="138"/>
      <c r="M196" s="139"/>
    </row>
    <row r="197">
      <c r="A197" s="140">
        <v>2025.0</v>
      </c>
      <c r="B197" s="137" t="s">
        <v>129</v>
      </c>
      <c r="C197" s="137" t="s">
        <v>84</v>
      </c>
      <c r="D197" s="137" t="s">
        <v>27</v>
      </c>
      <c r="E197" s="137" t="s">
        <v>138</v>
      </c>
      <c r="F197" s="137" t="s">
        <v>23</v>
      </c>
      <c r="G197" s="141">
        <v>42471.0</v>
      </c>
      <c r="H197" s="138"/>
      <c r="I197" s="138"/>
      <c r="J197" s="138"/>
      <c r="K197" s="138"/>
      <c r="L197" s="138"/>
      <c r="M197" s="139"/>
    </row>
    <row r="198">
      <c r="A198" s="140">
        <v>2025.0</v>
      </c>
      <c r="B198" s="137" t="s">
        <v>129</v>
      </c>
      <c r="C198" s="137" t="s">
        <v>84</v>
      </c>
      <c r="D198" s="137" t="s">
        <v>27</v>
      </c>
      <c r="E198" s="137" t="s">
        <v>138</v>
      </c>
      <c r="F198" s="137" t="s">
        <v>22</v>
      </c>
      <c r="G198" s="141">
        <v>52555.0</v>
      </c>
      <c r="H198" s="138"/>
      <c r="I198" s="138"/>
      <c r="J198" s="138"/>
      <c r="K198" s="138"/>
      <c r="L198" s="138"/>
      <c r="M198" s="139"/>
    </row>
    <row r="199">
      <c r="A199" s="140">
        <v>2025.0</v>
      </c>
      <c r="B199" s="137" t="s">
        <v>129</v>
      </c>
      <c r="C199" s="137" t="s">
        <v>84</v>
      </c>
      <c r="D199" s="137" t="s">
        <v>28</v>
      </c>
      <c r="E199" s="137" t="s">
        <v>126</v>
      </c>
      <c r="F199" s="137" t="s">
        <v>23</v>
      </c>
      <c r="G199" s="141">
        <v>3100.0</v>
      </c>
      <c r="H199" s="138"/>
      <c r="I199" s="138"/>
      <c r="J199" s="138"/>
      <c r="K199" s="138"/>
      <c r="L199" s="138"/>
      <c r="M199" s="13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7">
      <c r="B27" s="145" t="s">
        <v>140</v>
      </c>
      <c r="C27" s="146"/>
      <c r="D27" s="146"/>
      <c r="E27" s="146"/>
      <c r="F27" s="146"/>
      <c r="G27" s="147"/>
    </row>
    <row r="28">
      <c r="B28" s="148" t="str">
        <f>IFERROR(__xludf.DUMMYFUNCTION("query({Delivery_Data!$A:$I},""select Col1,sum(Col8) where Col1&lt;&gt;2017 and Col1&lt;&gt;2018 and Col1&lt;&gt;2019 and Col3 is not null and Col5= 'Model 3/Y' and Col6='USA' and Col8 is not null group by Col1 pivot Col2"",1)"),"Year")</f>
        <v>Year</v>
      </c>
      <c r="C28" s="149" t="str">
        <f>IFERROR(__xludf.DUMMYFUNCTION("""COMPUTED_VALUE"""),"Q1")</f>
        <v>Q1</v>
      </c>
      <c r="D28" s="149" t="str">
        <f>IFERROR(__xludf.DUMMYFUNCTION("""COMPUTED_VALUE"""),"Q2")</f>
        <v>Q2</v>
      </c>
      <c r="E28" s="149" t="str">
        <f>IFERROR(__xludf.DUMMYFUNCTION("""COMPUTED_VALUE"""),"Q3")</f>
        <v>Q3</v>
      </c>
      <c r="F28" s="150" t="str">
        <f>IFERROR(__xludf.DUMMYFUNCTION("""COMPUTED_VALUE"""),"Q4")</f>
        <v>Q4</v>
      </c>
      <c r="G28" s="151" t="s">
        <v>141</v>
      </c>
    </row>
    <row r="29">
      <c r="B29" s="152">
        <f>IFERROR(__xludf.DUMMYFUNCTION("""COMPUTED_VALUE"""),2020.0)</f>
        <v>2020</v>
      </c>
      <c r="C29" s="16">
        <f>IFERROR(__xludf.DUMMYFUNCTION("""COMPUTED_VALUE"""),25843.0)</f>
        <v>25843</v>
      </c>
      <c r="D29" s="16">
        <f>IFERROR(__xludf.DUMMYFUNCTION("""COMPUTED_VALUE"""),30514.0)</f>
        <v>30514</v>
      </c>
      <c r="E29" s="16">
        <f>IFERROR(__xludf.DUMMYFUNCTION("""COMPUTED_VALUE"""),53664.0)</f>
        <v>53664</v>
      </c>
      <c r="F29" s="153">
        <f>IFERROR(__xludf.DUMMYFUNCTION("""COMPUTED_VALUE"""),63461.0)</f>
        <v>63461</v>
      </c>
      <c r="G29" s="154">
        <f t="shared" ref="G29:G32" si="1">F29/E29</f>
        <v>1.182561866</v>
      </c>
    </row>
    <row r="30">
      <c r="B30" s="152">
        <f>IFERROR(__xludf.DUMMYFUNCTION("""COMPUTED_VALUE"""),2021.0)</f>
        <v>2021</v>
      </c>
      <c r="C30" s="16">
        <f>IFERROR(__xludf.DUMMYFUNCTION("""COMPUTED_VALUE"""),67674.0)</f>
        <v>67674</v>
      </c>
      <c r="D30" s="16">
        <f>IFERROR(__xludf.DUMMYFUNCTION("""COMPUTED_VALUE"""),75399.0)</f>
        <v>75399</v>
      </c>
      <c r="E30" s="16">
        <f>IFERROR(__xludf.DUMMYFUNCTION("""COMPUTED_VALUE"""),88046.0)</f>
        <v>88046</v>
      </c>
      <c r="F30" s="153">
        <f>IFERROR(__xludf.DUMMYFUNCTION("""COMPUTED_VALUE"""),105489.0)</f>
        <v>105489</v>
      </c>
      <c r="G30" s="154">
        <f t="shared" si="1"/>
        <v>1.19811235</v>
      </c>
    </row>
    <row r="31">
      <c r="B31" s="152">
        <f>IFERROR(__xludf.DUMMYFUNCTION("""COMPUTED_VALUE"""),2022.0)</f>
        <v>2022</v>
      </c>
      <c r="C31" s="16">
        <f>IFERROR(__xludf.DUMMYFUNCTION("""COMPUTED_VALUE"""),98046.0)</f>
        <v>98046</v>
      </c>
      <c r="D31" s="16">
        <f>IFERROR(__xludf.DUMMYFUNCTION("""COMPUTED_VALUE"""),102530.0)</f>
        <v>102530</v>
      </c>
      <c r="E31" s="16">
        <f>IFERROR(__xludf.DUMMYFUNCTION("""COMPUTED_VALUE"""),109433.0)</f>
        <v>109433</v>
      </c>
      <c r="F31" s="153">
        <f>IFERROR(__xludf.DUMMYFUNCTION("""COMPUTED_VALUE"""),140552.0)</f>
        <v>140552</v>
      </c>
      <c r="G31" s="154">
        <f t="shared" si="1"/>
        <v>1.284365776</v>
      </c>
      <c r="H31" s="155"/>
    </row>
    <row r="32">
      <c r="B32" s="152">
        <f>IFERROR(__xludf.DUMMYFUNCTION("""COMPUTED_VALUE"""),2023.0)</f>
        <v>2023</v>
      </c>
      <c r="C32" s="16">
        <f>IFERROR(__xludf.DUMMYFUNCTION("""COMPUTED_VALUE"""),144228.0)</f>
        <v>144228</v>
      </c>
      <c r="D32" s="16">
        <f>IFERROR(__xludf.DUMMYFUNCTION("""COMPUTED_VALUE"""),158140.0)</f>
        <v>158140</v>
      </c>
      <c r="E32" s="16">
        <f>IFERROR(__xludf.DUMMYFUNCTION("""COMPUTED_VALUE"""),144051.0)</f>
        <v>144051</v>
      </c>
      <c r="F32" s="153">
        <f>IFERROR(__xludf.DUMMYFUNCTION("""COMPUTED_VALUE"""),157614.0)</f>
        <v>157614</v>
      </c>
      <c r="G32" s="154">
        <f t="shared" si="1"/>
        <v>1.094154154</v>
      </c>
      <c r="H32" s="155"/>
    </row>
    <row r="33" hidden="1">
      <c r="B33" s="152">
        <f>IFERROR(__xludf.DUMMYFUNCTION("""COMPUTED_VALUE"""),2024.0)</f>
        <v>2024</v>
      </c>
      <c r="C33" s="16">
        <f>IFERROR(__xludf.DUMMYFUNCTION("""COMPUTED_VALUE"""),110260.0)</f>
        <v>110260</v>
      </c>
      <c r="D33" s="16">
        <f>IFERROR(__xludf.DUMMYFUNCTION("""COMPUTED_VALUE"""),150028.0)</f>
        <v>150028</v>
      </c>
      <c r="E33" s="16">
        <f>IFERROR(__xludf.DUMMYFUNCTION("""COMPUTED_VALUE"""),135385.0)</f>
        <v>135385</v>
      </c>
      <c r="F33" s="16">
        <f>IFERROR(__xludf.DUMMYFUNCTION("""COMPUTED_VALUE"""),151351.0)</f>
        <v>151351</v>
      </c>
      <c r="G33" s="154"/>
      <c r="H33" s="155"/>
    </row>
    <row r="34" hidden="1">
      <c r="B34" s="152">
        <f>IFERROR(__xludf.DUMMYFUNCTION("""COMPUTED_VALUE"""),2025.0)</f>
        <v>2025</v>
      </c>
      <c r="C34" s="16">
        <f>IFERROR(__xludf.DUMMYFUNCTION("""COMPUTED_VALUE"""),109230.0)</f>
        <v>109230</v>
      </c>
      <c r="D34" s="16">
        <f>IFERROR(__xludf.DUMMYFUNCTION("""COMPUTED_VALUE"""),139802.0)</f>
        <v>139802</v>
      </c>
      <c r="E34" s="16">
        <f>IFERROR(__xludf.DUMMYFUNCTION("""COMPUTED_VALUE"""),179950.0)</f>
        <v>179950</v>
      </c>
      <c r="F34" s="16">
        <f>IFERROR(__xludf.DUMMYFUNCTION("""COMPUTED_VALUE"""),100263.0)</f>
        <v>100263</v>
      </c>
      <c r="G34" s="154"/>
    </row>
    <row r="35" hidden="1">
      <c r="B35" s="152"/>
      <c r="C35" s="16"/>
      <c r="D35" s="16"/>
      <c r="E35" s="16"/>
      <c r="F35" s="16"/>
      <c r="G35" s="154"/>
    </row>
  </sheetData>
  <mergeCells count="1">
    <mergeCell ref="B27:G2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5"/>
    <col customWidth="1" min="3" max="5" width="17.63"/>
  </cols>
  <sheetData>
    <row r="1">
      <c r="A1" s="46"/>
      <c r="B1" s="4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>
      <c r="A2" s="46"/>
      <c r="B2" s="4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>
      <c r="A3" s="46"/>
      <c r="B3" s="4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>
      <c r="A4" s="46"/>
      <c r="B4" s="4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5">
      <c r="A5" s="46"/>
      <c r="B5" s="4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</row>
    <row r="6">
      <c r="A6" s="46"/>
      <c r="B6" s="4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</row>
    <row r="7">
      <c r="A7" s="46"/>
      <c r="B7" s="4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</row>
    <row r="8">
      <c r="A8" s="46"/>
      <c r="B8" s="4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</row>
    <row r="9">
      <c r="A9" s="46"/>
      <c r="B9" s="4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</row>
    <row r="10">
      <c r="A10" s="46"/>
      <c r="B10" s="4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</row>
    <row r="11">
      <c r="A11" s="46"/>
      <c r="B11" s="4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</row>
    <row r="12">
      <c r="A12" s="46"/>
      <c r="B12" s="4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</row>
    <row r="13">
      <c r="A13" s="46"/>
      <c r="B13" s="4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</row>
    <row r="14">
      <c r="A14" s="46"/>
      <c r="B14" s="4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</row>
    <row r="15">
      <c r="A15" s="46"/>
      <c r="B15" s="4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>
      <c r="A16" s="46"/>
      <c r="B16" s="4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>
      <c r="A17" s="46"/>
      <c r="B17" s="4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>
      <c r="A18" s="46"/>
      <c r="B18" s="4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>
      <c r="A19" s="46"/>
      <c r="B19" s="4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>
      <c r="A20" s="46"/>
      <c r="B20" s="4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>
      <c r="A21" s="46"/>
      <c r="B21" s="46"/>
      <c r="C21" s="156"/>
      <c r="D21" s="156"/>
      <c r="E21" s="157" t="s">
        <v>142</v>
      </c>
      <c r="G21" s="156"/>
      <c r="H21" s="156"/>
      <c r="I21" s="156"/>
      <c r="J21" s="156"/>
      <c r="K21" s="156"/>
      <c r="L21" s="156"/>
      <c r="M21" s="156"/>
      <c r="N21" s="156"/>
      <c r="O21" s="15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>
      <c r="A22" s="46"/>
      <c r="B22" s="4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>
      <c r="A23" s="46"/>
      <c r="B23" s="158" t="s">
        <v>143</v>
      </c>
      <c r="C23" s="159"/>
      <c r="D23" s="159"/>
      <c r="E23" s="160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>
      <c r="A24" s="46"/>
      <c r="B24" s="161" t="s">
        <v>119</v>
      </c>
      <c r="C24" s="162" t="s">
        <v>127</v>
      </c>
      <c r="D24" s="162" t="s">
        <v>135</v>
      </c>
      <c r="E24" s="162" t="s">
        <v>134</v>
      </c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>
      <c r="A25" s="46"/>
      <c r="B25" s="163" t="s">
        <v>61</v>
      </c>
      <c r="C25" s="16">
        <f>sumifs(Delivery_Data!$H:$H,Delivery_Data!$C:$C,$B25,Delivery_Data!$E:$E,"Model 3/Y",Delivery_Data!$F:$F,C$24)</f>
        <v>25843</v>
      </c>
      <c r="D25" s="16">
        <f>sumifs(Delivery_Data!$H:$H,Delivery_Data!$C:$C,$B25,Delivery_Data!$E:$E,"Model 3/Y",Delivery_Data!$F:$F,D$24)</f>
        <v>18115</v>
      </c>
      <c r="E25" s="16">
        <f>sumifs(Delivery_Data!$H:$H,Delivery_Data!$C:$C,$B25,Delivery_Data!$E:$E,"Model 3/Y",Delivery_Data!$F:$F,E$24)</f>
        <v>21235</v>
      </c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>
      <c r="A26" s="46"/>
      <c r="B26" s="163" t="s">
        <v>62</v>
      </c>
      <c r="C26" s="16">
        <f>sumifs(Delivery_Data!$H:$H,Delivery_Data!$C:$C,$B26,Delivery_Data!$E:$E,"Model 3/Y",Delivery_Data!$F:$F,C$24)</f>
        <v>30514</v>
      </c>
      <c r="D26" s="16">
        <f>sumifs(Delivery_Data!$H:$H,Delivery_Data!$C:$C,$B26,Delivery_Data!$E:$E,"Model 3/Y",Delivery_Data!$F:$F,D$24)</f>
        <v>29990</v>
      </c>
      <c r="E26" s="16">
        <f>sumifs(Delivery_Data!$H:$H,Delivery_Data!$C:$C,$B26,Delivery_Data!$E:$E,"Model 3/Y",Delivery_Data!$F:$F,E$24)</f>
        <v>11972</v>
      </c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>
      <c r="A27" s="46"/>
      <c r="B27" s="163" t="s">
        <v>63</v>
      </c>
      <c r="C27" s="16">
        <f>sumifs(Delivery_Data!$H:$H,Delivery_Data!$C:$C,$B27,Delivery_Data!$E:$E,"Model 3/Y",Delivery_Data!$F:$F,C$24)</f>
        <v>53664</v>
      </c>
      <c r="D27" s="16">
        <f>sumifs(Delivery_Data!$H:$H,Delivery_Data!$C:$C,$B27,Delivery_Data!$E:$E,"Model 3/Y",Delivery_Data!$F:$F,D$24)</f>
        <v>34246</v>
      </c>
      <c r="E27" s="16">
        <f>sumifs(Delivery_Data!$H:$H,Delivery_Data!$C:$C,$B27,Delivery_Data!$E:$E,"Model 3/Y",Delivery_Data!$F:$F,E$24)</f>
        <v>24074</v>
      </c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>
      <c r="A28" s="46"/>
      <c r="B28" s="164" t="s">
        <v>64</v>
      </c>
      <c r="C28" s="165">
        <f>sumifs(Delivery_Data!$H:$H,Delivery_Data!$C:$C,$B28,Delivery_Data!$E:$E,"Model 3/Y",Delivery_Data!$F:$F,C$24)</f>
        <v>63461</v>
      </c>
      <c r="D28" s="165">
        <f>sumifs(Delivery_Data!$H:$H,Delivery_Data!$C:$C,$B28,Delivery_Data!$E:$E,"Model 3/Y",Delivery_Data!$F:$F,D$24)</f>
        <v>57586</v>
      </c>
      <c r="E28" s="165">
        <f>sumifs(Delivery_Data!$H:$H,Delivery_Data!$C:$C,$B28,Delivery_Data!$E:$E,"Model 3/Y",Delivery_Data!$F:$F,E$24)</f>
        <v>30695</v>
      </c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>
      <c r="A29" s="46"/>
      <c r="B29" s="166" t="s">
        <v>65</v>
      </c>
      <c r="C29" s="167">
        <f>sumifs(Delivery_Data!$H:$H,Delivery_Data!$C:$C,$B29,Delivery_Data!$E:$E,"Model 3/Y",Delivery_Data!$F:$F,C$24)</f>
        <v>67674</v>
      </c>
      <c r="D29" s="167">
        <f>sumifs(Delivery_Data!$H:$H,Delivery_Data!$C:$C,$B29,Delivery_Data!$E:$E,"Model 3/Y",Delivery_Data!$F:$F,D$24)</f>
        <v>69280</v>
      </c>
      <c r="E29" s="167">
        <f>sumifs(Delivery_Data!$H:$H,Delivery_Data!$C:$C,$B29,Delivery_Data!$E:$E,"Model 3/Y",Delivery_Data!$F:$F,E$24)</f>
        <v>31246</v>
      </c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</row>
    <row r="30">
      <c r="A30" s="46"/>
      <c r="B30" s="163" t="s">
        <v>66</v>
      </c>
      <c r="C30" s="16">
        <f>sumifs(Delivery_Data!$H:$H,Delivery_Data!$C:$C,$B30,Delivery_Data!$E:$E,"Model 3/Y",Delivery_Data!$F:$F,C$24)</f>
        <v>75399</v>
      </c>
      <c r="D30" s="16">
        <f>sumifs(Delivery_Data!$H:$H,Delivery_Data!$C:$C,$B30,Delivery_Data!$E:$E,"Model 3/Y",Delivery_Data!$F:$F,D$24)</f>
        <v>61745</v>
      </c>
      <c r="E30" s="16">
        <f>sumifs(Delivery_Data!$H:$H,Delivery_Data!$C:$C,$B30,Delivery_Data!$E:$E,"Model 3/Y",Delivery_Data!$F:$F,E$24)</f>
        <v>36465</v>
      </c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>
      <c r="A31" s="46"/>
      <c r="B31" s="163" t="s">
        <v>67</v>
      </c>
      <c r="C31" s="16">
        <f>sumifs(Delivery_Data!$H:$H,Delivery_Data!$C:$C,$B31,Delivery_Data!$E:$E,"Model 3/Y",Delivery_Data!$F:$F,C$24)</f>
        <v>88046</v>
      </c>
      <c r="D31" s="16">
        <f>sumifs(Delivery_Data!$H:$H,Delivery_Data!$C:$C,$B31,Delivery_Data!$E:$E,"Model 3/Y",Delivery_Data!$F:$F,D$24)</f>
        <v>73659</v>
      </c>
      <c r="E31" s="16">
        <f>sumifs(Delivery_Data!$H:$H,Delivery_Data!$C:$C,$B31,Delivery_Data!$E:$E,"Model 3/Y",Delivery_Data!$F:$F,E$24)</f>
        <v>46337</v>
      </c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>
      <c r="A32" s="46"/>
      <c r="B32" s="168" t="s">
        <v>68</v>
      </c>
      <c r="C32" s="169">
        <f>sumifs(Delivery_Data!$H:$H,Delivery_Data!$C:$C,$B32,Delivery_Data!$E:$E,"Model 3/Y",Delivery_Data!$F:$F,C$24)</f>
        <v>105489</v>
      </c>
      <c r="D32" s="169">
        <f>sumifs(Delivery_Data!$H:$H,Delivery_Data!$C:$C,$B32,Delivery_Data!$E:$E,"Model 3/Y",Delivery_Data!$F:$F,D$24)</f>
        <v>116059</v>
      </c>
      <c r="E32" s="169">
        <f>sumifs(Delivery_Data!$H:$H,Delivery_Data!$C:$C,$B32,Delivery_Data!$E:$E,"Model 3/Y",Delivery_Data!$F:$F,E$24)</f>
        <v>54993</v>
      </c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>
      <c r="A33" s="46"/>
      <c r="B33" s="170" t="s">
        <v>69</v>
      </c>
      <c r="C33" s="171">
        <f>sumifs(Delivery_Data!$H:$H,Delivery_Data!$C:$C,$B33,Delivery_Data!$E:$E,"Model 3/Y",Delivery_Data!$F:$F,C$24)</f>
        <v>98046</v>
      </c>
      <c r="D33" s="171">
        <f>sumifs(Delivery_Data!$H:$H,Delivery_Data!$C:$C,$B33,Delivery_Data!$E:$E,"Model 3/Y",Delivery_Data!$F:$F,D$24)</f>
        <v>108300</v>
      </c>
      <c r="E33" s="171">
        <f>sumifs(Delivery_Data!$H:$H,Delivery_Data!$C:$C,$B33,Delivery_Data!$E:$E,"Model 3/Y",Delivery_Data!$F:$F,E$24)</f>
        <v>59592</v>
      </c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>
      <c r="A34" s="46"/>
      <c r="B34" s="163" t="s">
        <v>70</v>
      </c>
      <c r="C34" s="16">
        <f>sumifs(Delivery_Data!$H:$H,Delivery_Data!$C:$C,$B34,Delivery_Data!$E:$E,"Model 3/Y",Delivery_Data!$F:$F,C$24)</f>
        <v>102530</v>
      </c>
      <c r="D34" s="16">
        <f>sumifs(Delivery_Data!$H:$H,Delivery_Data!$C:$C,$B34,Delivery_Data!$E:$E,"Model 3/Y",Delivery_Data!$F:$F,D$24)</f>
        <v>89275</v>
      </c>
      <c r="E34" s="16">
        <f>sumifs(Delivery_Data!$H:$H,Delivery_Data!$C:$C,$B34,Delivery_Data!$E:$E,"Model 3/Y",Delivery_Data!$F:$F,E$24)</f>
        <v>26210</v>
      </c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>
      <c r="A35" s="46"/>
      <c r="B35" s="163" t="s">
        <v>71</v>
      </c>
      <c r="C35" s="16">
        <f>sumifs(Delivery_Data!$H:$H,Delivery_Data!$C:$C,$B35,Delivery_Data!$E:$E,"Model 3/Y",Delivery_Data!$F:$F,C$24)</f>
        <v>109433</v>
      </c>
      <c r="D35" s="16">
        <f>sumifs(Delivery_Data!$H:$H,Delivery_Data!$C:$C,$B35,Delivery_Data!$E:$E,"Model 3/Y",Delivery_Data!$F:$F,D$24)</f>
        <v>120576</v>
      </c>
      <c r="E35" s="16">
        <f>sumifs(Delivery_Data!$H:$H,Delivery_Data!$C:$C,$B35,Delivery_Data!$E:$E,"Model 3/Y",Delivery_Data!$F:$F,E$24)</f>
        <v>54298</v>
      </c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>
      <c r="A36" s="46"/>
      <c r="B36" s="164" t="s">
        <v>72</v>
      </c>
      <c r="C36" s="165">
        <f>sumifs(Delivery_Data!$H:$H,Delivery_Data!$C:$C,$B36,Delivery_Data!$E:$E,"Model 3/Y",Delivery_Data!$F:$F,C$24)</f>
        <v>140552</v>
      </c>
      <c r="D36" s="165">
        <f>sumifs(Delivery_Data!$H:$H,Delivery_Data!$C:$C,$B36,Delivery_Data!$E:$E,"Model 3/Y",Delivery_Data!$F:$F,D$24)</f>
        <v>121619</v>
      </c>
      <c r="E36" s="165">
        <f>sumifs(Delivery_Data!$H:$H,Delivery_Data!$C:$C,$B36,Delivery_Data!$E:$E,"Model 3/Y",Delivery_Data!$F:$F,E$24)</f>
        <v>90953</v>
      </c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>
      <c r="A37" s="46"/>
      <c r="B37" s="166" t="s">
        <v>73</v>
      </c>
      <c r="C37" s="167">
        <f>sumifs(Delivery_Data!$H:$H,Delivery_Data!$C:$C,$B37,Delivery_Data!$E:$E,"Model 3/Y",Delivery_Data!$F:$F,C$24)</f>
        <v>144228</v>
      </c>
      <c r="D37" s="167">
        <f>sumifs(Delivery_Data!$H:$H,Delivery_Data!$C:$C,$B37,Delivery_Data!$E:$E,"Model 3/Y",Delivery_Data!$F:$F,D$24)</f>
        <v>137429</v>
      </c>
      <c r="E37" s="167">
        <f>sumifs(Delivery_Data!$H:$H,Delivery_Data!$C:$C,$B37,Delivery_Data!$E:$E,"Model 3/Y",Delivery_Data!$F:$F,E$24)</f>
        <v>92159</v>
      </c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>
      <c r="A38" s="46"/>
      <c r="B38" s="163" t="s">
        <v>74</v>
      </c>
      <c r="C38" s="16">
        <f>sumifs(Delivery_Data!$H:$H,Delivery_Data!$C:$C,$B38,Delivery_Data!$E:$E,"Model 3/Y",Delivery_Data!$F:$F,C$24)</f>
        <v>158140</v>
      </c>
      <c r="D38" s="16">
        <f>sumifs(Delivery_Data!$H:$H,Delivery_Data!$C:$C,$B38,Delivery_Data!$E:$E,"Model 3/Y",Delivery_Data!$F:$F,D$24)</f>
        <v>156676</v>
      </c>
      <c r="E38" s="16">
        <f>sumifs(Delivery_Data!$H:$H,Delivery_Data!$C:$C,$B38,Delivery_Data!$E:$E,"Model 3/Y",Delivery_Data!$F:$F,E$24)</f>
        <v>88694</v>
      </c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>
      <c r="A39" s="46"/>
      <c r="B39" s="4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>
      <c r="A40" s="46"/>
      <c r="B40" s="158" t="s">
        <v>144</v>
      </c>
      <c r="C40" s="159"/>
      <c r="D40" s="159"/>
      <c r="E40" s="160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>
      <c r="A41" s="46"/>
      <c r="B41" s="161" t="str">
        <f t="shared" ref="B41:E41" si="1">B24</f>
        <v>Quarter</v>
      </c>
      <c r="C41" s="162" t="str">
        <f t="shared" si="1"/>
        <v>USA</v>
      </c>
      <c r="D41" s="162" t="str">
        <f t="shared" si="1"/>
        <v>China</v>
      </c>
      <c r="E41" s="162" t="str">
        <f t="shared" si="1"/>
        <v>Europe</v>
      </c>
      <c r="F41" s="46"/>
      <c r="G41" s="46"/>
      <c r="H41" s="46"/>
      <c r="I41" s="156"/>
      <c r="J41" s="156"/>
      <c r="K41" s="156"/>
      <c r="L41" s="156"/>
      <c r="M41" s="156"/>
      <c r="N41" s="156"/>
      <c r="O41" s="15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>
      <c r="A42" s="46"/>
      <c r="B42" s="163" t="str">
        <f t="shared" ref="B42:B55" si="3">B25</f>
        <v>2020 Q1</v>
      </c>
      <c r="C42" s="16">
        <f t="shared" ref="C42:E42" si="2">sum(C$25:C25)</f>
        <v>25843</v>
      </c>
      <c r="D42" s="16">
        <f t="shared" si="2"/>
        <v>18115</v>
      </c>
      <c r="E42" s="16">
        <f t="shared" si="2"/>
        <v>21235</v>
      </c>
      <c r="F42" s="46"/>
      <c r="G42" s="46"/>
      <c r="H42" s="46"/>
      <c r="I42" s="10"/>
      <c r="J42" s="156"/>
      <c r="K42" s="156"/>
      <c r="L42" s="156"/>
      <c r="M42" s="156"/>
      <c r="N42" s="156"/>
      <c r="O42" s="15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>
      <c r="A43" s="46"/>
      <c r="B43" s="163" t="str">
        <f t="shared" si="3"/>
        <v>2020 Q2</v>
      </c>
      <c r="C43" s="16">
        <f t="shared" ref="C43:E43" si="4">sum(C$25:C26)</f>
        <v>56357</v>
      </c>
      <c r="D43" s="16">
        <f t="shared" si="4"/>
        <v>48105</v>
      </c>
      <c r="E43" s="16">
        <f t="shared" si="4"/>
        <v>33207</v>
      </c>
      <c r="F43" s="46"/>
      <c r="G43" s="46"/>
      <c r="H43" s="46"/>
      <c r="I43" s="10"/>
      <c r="J43" s="156"/>
      <c r="K43" s="156"/>
      <c r="L43" s="156"/>
      <c r="M43" s="156"/>
      <c r="N43" s="156"/>
      <c r="O43" s="15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>
      <c r="A44" s="46"/>
      <c r="B44" s="163" t="str">
        <f t="shared" si="3"/>
        <v>2020 Q3</v>
      </c>
      <c r="C44" s="16">
        <f t="shared" ref="C44:E44" si="5">sum(C$25:C27)</f>
        <v>110021</v>
      </c>
      <c r="D44" s="16">
        <f t="shared" si="5"/>
        <v>82351</v>
      </c>
      <c r="E44" s="16">
        <f t="shared" si="5"/>
        <v>57281</v>
      </c>
      <c r="F44" s="46"/>
      <c r="G44" s="46"/>
      <c r="H44" s="46"/>
      <c r="I44" s="10"/>
      <c r="J44" s="156"/>
      <c r="K44" s="156"/>
      <c r="L44" s="156"/>
      <c r="M44" s="156"/>
      <c r="N44" s="156"/>
      <c r="O44" s="15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>
      <c r="A45" s="46"/>
      <c r="B45" s="164" t="str">
        <f t="shared" si="3"/>
        <v>2020 Q4</v>
      </c>
      <c r="C45" s="165">
        <f t="shared" ref="C45:E45" si="6">sum(C$25:C28)</f>
        <v>173482</v>
      </c>
      <c r="D45" s="165">
        <f t="shared" si="6"/>
        <v>139937</v>
      </c>
      <c r="E45" s="165">
        <f t="shared" si="6"/>
        <v>87976</v>
      </c>
      <c r="F45" s="46"/>
      <c r="G45" s="46"/>
      <c r="H45" s="46"/>
      <c r="I45" s="10"/>
      <c r="J45" s="156"/>
      <c r="K45" s="156"/>
      <c r="L45" s="156"/>
      <c r="M45" s="156"/>
      <c r="N45" s="156"/>
      <c r="O45" s="15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>
      <c r="A46" s="46"/>
      <c r="B46" s="166" t="str">
        <f t="shared" si="3"/>
        <v>2021 Q1</v>
      </c>
      <c r="C46" s="167">
        <f t="shared" ref="C46:E46" si="7">sum(C$25:C29)</f>
        <v>241156</v>
      </c>
      <c r="D46" s="167">
        <f t="shared" si="7"/>
        <v>209217</v>
      </c>
      <c r="E46" s="167">
        <f t="shared" si="7"/>
        <v>119222</v>
      </c>
      <c r="F46" s="46"/>
      <c r="G46" s="46"/>
      <c r="H46" s="46"/>
      <c r="I46" s="10"/>
      <c r="J46" s="156"/>
      <c r="K46" s="156"/>
      <c r="L46" s="156"/>
      <c r="M46" s="156"/>
      <c r="N46" s="156"/>
      <c r="O46" s="15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>
      <c r="A47" s="46"/>
      <c r="B47" s="163" t="str">
        <f t="shared" si="3"/>
        <v>2021 Q2</v>
      </c>
      <c r="C47" s="16">
        <f t="shared" ref="C47:E47" si="8">sum(C$25:C30)</f>
        <v>316555</v>
      </c>
      <c r="D47" s="16">
        <f t="shared" si="8"/>
        <v>270962</v>
      </c>
      <c r="E47" s="16">
        <f t="shared" si="8"/>
        <v>155687</v>
      </c>
      <c r="F47" s="46"/>
      <c r="G47" s="46"/>
      <c r="H47" s="46"/>
      <c r="I47" s="10"/>
      <c r="J47" s="156"/>
      <c r="K47" s="156"/>
      <c r="L47" s="156"/>
      <c r="M47" s="156"/>
      <c r="N47" s="156"/>
      <c r="O47" s="15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>
      <c r="A48" s="46"/>
      <c r="B48" s="163" t="str">
        <f t="shared" si="3"/>
        <v>2021 Q3</v>
      </c>
      <c r="C48" s="16">
        <f t="shared" ref="C48:E48" si="9">sum(C$25:C31)</f>
        <v>404601</v>
      </c>
      <c r="D48" s="16">
        <f t="shared" si="9"/>
        <v>344621</v>
      </c>
      <c r="E48" s="16">
        <f t="shared" si="9"/>
        <v>202024</v>
      </c>
      <c r="F48" s="46"/>
      <c r="G48" s="46"/>
      <c r="H48" s="46"/>
      <c r="I48" s="10"/>
      <c r="J48" s="156"/>
      <c r="K48" s="156"/>
      <c r="L48" s="156"/>
      <c r="M48" s="156"/>
      <c r="N48" s="156"/>
      <c r="O48" s="15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>
      <c r="A49" s="46"/>
      <c r="B49" s="168" t="str">
        <f t="shared" si="3"/>
        <v>2021 Q4</v>
      </c>
      <c r="C49" s="169">
        <f t="shared" ref="C49:E49" si="10">sum(C$25:C32)</f>
        <v>510090</v>
      </c>
      <c r="D49" s="169">
        <f t="shared" si="10"/>
        <v>460680</v>
      </c>
      <c r="E49" s="169">
        <f t="shared" si="10"/>
        <v>257017</v>
      </c>
      <c r="F49" s="46"/>
      <c r="G49" s="46"/>
      <c r="H49" s="46"/>
      <c r="I49" s="10"/>
      <c r="J49" s="156"/>
      <c r="K49" s="156"/>
      <c r="L49" s="156"/>
      <c r="M49" s="156"/>
      <c r="N49" s="156"/>
      <c r="O49" s="15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</row>
    <row r="50">
      <c r="A50" s="46"/>
      <c r="B50" s="170" t="str">
        <f t="shared" si="3"/>
        <v>2022 Q1</v>
      </c>
      <c r="C50" s="171">
        <f t="shared" ref="C50:E50" si="11">sum(C$25:C33)</f>
        <v>608136</v>
      </c>
      <c r="D50" s="171">
        <f t="shared" si="11"/>
        <v>568980</v>
      </c>
      <c r="E50" s="171">
        <f t="shared" si="11"/>
        <v>316609</v>
      </c>
      <c r="F50" s="46"/>
      <c r="G50" s="46"/>
      <c r="H50" s="46"/>
      <c r="I50" s="10"/>
      <c r="J50" s="156"/>
      <c r="K50" s="156"/>
      <c r="L50" s="156"/>
      <c r="M50" s="156"/>
      <c r="N50" s="156"/>
      <c r="O50" s="15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</row>
    <row r="51">
      <c r="A51" s="46"/>
      <c r="B51" s="163" t="str">
        <f t="shared" si="3"/>
        <v>2022 Q2</v>
      </c>
      <c r="C51" s="16">
        <f t="shared" ref="C51:E51" si="12">sum(C$25:C34)</f>
        <v>710666</v>
      </c>
      <c r="D51" s="16">
        <f t="shared" si="12"/>
        <v>658255</v>
      </c>
      <c r="E51" s="16">
        <f t="shared" si="12"/>
        <v>342819</v>
      </c>
      <c r="F51" s="46"/>
      <c r="G51" s="46"/>
      <c r="H51" s="46"/>
      <c r="I51" s="10"/>
      <c r="J51" s="156"/>
      <c r="K51" s="156"/>
      <c r="L51" s="156"/>
      <c r="M51" s="156"/>
      <c r="N51" s="156"/>
      <c r="O51" s="15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</row>
    <row r="52">
      <c r="A52" s="46"/>
      <c r="B52" s="163" t="str">
        <f t="shared" si="3"/>
        <v>2022 Q3</v>
      </c>
      <c r="C52" s="16">
        <f t="shared" ref="C52:E52" si="13">sum(C$25:C35)</f>
        <v>820099</v>
      </c>
      <c r="D52" s="16">
        <f t="shared" si="13"/>
        <v>778831</v>
      </c>
      <c r="E52" s="16">
        <f t="shared" si="13"/>
        <v>397117</v>
      </c>
      <c r="F52" s="46"/>
      <c r="G52" s="46"/>
      <c r="H52" s="46"/>
      <c r="I52" s="10"/>
      <c r="J52" s="156"/>
      <c r="K52" s="156"/>
      <c r="L52" s="156"/>
      <c r="M52" s="156"/>
      <c r="N52" s="156"/>
      <c r="O52" s="15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</row>
    <row r="53">
      <c r="A53" s="46"/>
      <c r="B53" s="164" t="str">
        <f t="shared" si="3"/>
        <v>2022 Q4</v>
      </c>
      <c r="C53" s="165">
        <f t="shared" ref="C53:E53" si="14">sum(C$25:C36)</f>
        <v>960651</v>
      </c>
      <c r="D53" s="165">
        <f t="shared" si="14"/>
        <v>900450</v>
      </c>
      <c r="E53" s="165">
        <f t="shared" si="14"/>
        <v>488070</v>
      </c>
      <c r="F53" s="46"/>
      <c r="G53" s="46"/>
      <c r="H53" s="46"/>
      <c r="I53" s="10"/>
      <c r="J53" s="156"/>
      <c r="K53" s="156"/>
      <c r="L53" s="156"/>
      <c r="M53" s="156"/>
      <c r="N53" s="156"/>
      <c r="O53" s="15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</row>
    <row r="54">
      <c r="A54" s="46"/>
      <c r="B54" s="166" t="str">
        <f t="shared" si="3"/>
        <v>2023 Q1</v>
      </c>
      <c r="C54" s="167">
        <f t="shared" ref="C54:E54" si="15">sum(C$25:C37)</f>
        <v>1104879</v>
      </c>
      <c r="D54" s="167">
        <f t="shared" si="15"/>
        <v>1037879</v>
      </c>
      <c r="E54" s="167">
        <f t="shared" si="15"/>
        <v>580229</v>
      </c>
      <c r="F54" s="46"/>
      <c r="G54" s="46"/>
      <c r="H54" s="46"/>
      <c r="I54" s="10"/>
      <c r="J54" s="156"/>
      <c r="K54" s="156"/>
      <c r="L54" s="156"/>
      <c r="M54" s="156"/>
      <c r="N54" s="156"/>
      <c r="O54" s="15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>
      <c r="A55" s="46"/>
      <c r="B55" s="163" t="str">
        <f t="shared" si="3"/>
        <v>2023 Q2</v>
      </c>
      <c r="C55" s="16">
        <f t="shared" ref="C55:E55" si="16">sum(C$25:C38)</f>
        <v>1263019</v>
      </c>
      <c r="D55" s="16">
        <f t="shared" si="16"/>
        <v>1194555</v>
      </c>
      <c r="E55" s="16">
        <f t="shared" si="16"/>
        <v>668923</v>
      </c>
      <c r="F55" s="46"/>
      <c r="G55" s="46"/>
      <c r="H55" s="46"/>
      <c r="I55" s="10"/>
      <c r="J55" s="156"/>
      <c r="K55" s="156"/>
      <c r="L55" s="156"/>
      <c r="M55" s="156"/>
      <c r="N55" s="156"/>
      <c r="O55" s="15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>
      <c r="A56" s="46"/>
      <c r="B56" s="46"/>
      <c r="C56" s="10"/>
      <c r="D56" s="10"/>
      <c r="E56" s="10"/>
      <c r="F56" s="10"/>
      <c r="G56" s="10"/>
      <c r="H56" s="10"/>
      <c r="I56" s="10"/>
      <c r="J56" s="156"/>
      <c r="K56" s="156"/>
      <c r="L56" s="156"/>
      <c r="M56" s="156"/>
      <c r="N56" s="156"/>
      <c r="O56" s="15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</row>
    <row r="57">
      <c r="A57" s="46"/>
      <c r="B57" s="46"/>
      <c r="C57" s="10"/>
      <c r="D57" s="10"/>
      <c r="E57" s="10"/>
      <c r="F57" s="10"/>
      <c r="G57" s="10"/>
      <c r="H57" s="10"/>
      <c r="I57" s="10"/>
      <c r="J57" s="156"/>
      <c r="K57" s="156"/>
      <c r="L57" s="156"/>
      <c r="M57" s="156"/>
      <c r="N57" s="156"/>
      <c r="O57" s="15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</row>
    <row r="58">
      <c r="A58" s="46"/>
      <c r="B58" s="46"/>
      <c r="C58" s="10"/>
      <c r="D58" s="10"/>
      <c r="E58" s="10"/>
      <c r="F58" s="10"/>
      <c r="G58" s="10"/>
      <c r="H58" s="10"/>
      <c r="I58" s="10"/>
      <c r="J58" s="156"/>
      <c r="K58" s="156"/>
      <c r="L58" s="156"/>
      <c r="M58" s="156"/>
      <c r="N58" s="156"/>
      <c r="O58" s="15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>
      <c r="A59" s="46"/>
      <c r="B59" s="46"/>
      <c r="C59" s="10"/>
      <c r="D59" s="10"/>
      <c r="E59" s="10"/>
      <c r="F59" s="10"/>
      <c r="G59" s="10"/>
      <c r="H59" s="10"/>
      <c r="I59" s="10"/>
      <c r="J59" s="156"/>
      <c r="K59" s="156"/>
      <c r="L59" s="156"/>
      <c r="M59" s="156"/>
      <c r="N59" s="156"/>
      <c r="O59" s="15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</row>
    <row r="60">
      <c r="A60" s="46"/>
      <c r="B60" s="46"/>
      <c r="C60" s="10"/>
      <c r="D60" s="10"/>
      <c r="E60" s="10"/>
      <c r="F60" s="10"/>
      <c r="G60" s="10"/>
      <c r="H60" s="10"/>
      <c r="I60" s="10"/>
      <c r="J60" s="156"/>
      <c r="K60" s="156"/>
      <c r="L60" s="156"/>
      <c r="M60" s="156"/>
      <c r="N60" s="156"/>
      <c r="O60" s="15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>
      <c r="A61" s="46"/>
      <c r="B61" s="46"/>
      <c r="C61" s="10"/>
      <c r="D61" s="10"/>
      <c r="E61" s="10"/>
      <c r="F61" s="10"/>
      <c r="G61" s="10"/>
      <c r="H61" s="10"/>
      <c r="I61" s="10"/>
      <c r="J61" s="156"/>
      <c r="K61" s="156"/>
      <c r="L61" s="156"/>
      <c r="M61" s="156"/>
      <c r="N61" s="156"/>
      <c r="O61" s="15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>
      <c r="A62" s="46"/>
      <c r="B62" s="46"/>
      <c r="C62" s="10"/>
      <c r="D62" s="10"/>
      <c r="E62" s="10"/>
      <c r="F62" s="10"/>
      <c r="G62" s="10"/>
      <c r="H62" s="10"/>
      <c r="I62" s="10"/>
      <c r="J62" s="156"/>
      <c r="K62" s="156"/>
      <c r="L62" s="156"/>
      <c r="M62" s="156"/>
      <c r="N62" s="156"/>
      <c r="O62" s="15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3">
      <c r="A63" s="46"/>
      <c r="B63" s="46"/>
      <c r="C63" s="10"/>
      <c r="D63" s="10"/>
      <c r="E63" s="10"/>
      <c r="F63" s="10"/>
      <c r="G63" s="10"/>
      <c r="H63" s="10"/>
      <c r="I63" s="10"/>
      <c r="J63" s="156"/>
      <c r="K63" s="156"/>
      <c r="L63" s="156"/>
      <c r="M63" s="156"/>
      <c r="N63" s="156"/>
      <c r="O63" s="15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>
      <c r="A64" s="46"/>
      <c r="B64" s="46"/>
      <c r="C64" s="10"/>
      <c r="D64" s="10"/>
      <c r="E64" s="10"/>
      <c r="F64" s="10"/>
      <c r="G64" s="10"/>
      <c r="H64" s="10"/>
      <c r="I64" s="10"/>
      <c r="J64" s="156"/>
      <c r="K64" s="156"/>
      <c r="L64" s="156"/>
      <c r="M64" s="156"/>
      <c r="N64" s="156"/>
      <c r="O64" s="15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>
      <c r="A65" s="46"/>
      <c r="B65" s="4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>
      <c r="A66" s="46"/>
      <c r="B66" s="4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>
      <c r="A67" s="46"/>
      <c r="B67" s="4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>
      <c r="A68" s="46"/>
      <c r="B68" s="4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>
      <c r="A69" s="46"/>
      <c r="B69" s="4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</row>
    <row r="70">
      <c r="A70" s="46"/>
      <c r="B70" s="4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</row>
    <row r="71">
      <c r="A71" s="46"/>
      <c r="B71" s="4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</row>
  </sheetData>
  <mergeCells count="2">
    <mergeCell ref="B23:E23"/>
    <mergeCell ref="B40:E40"/>
  </mergeCells>
  <drawing r:id="rId1"/>
</worksheet>
</file>